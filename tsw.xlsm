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itprod-my.sharepoint.com/personal/zehao_mit_edu/Documents/tsw/"/>
    </mc:Choice>
  </mc:AlternateContent>
  <xr:revisionPtr revIDLastSave="91" documentId="13_ncr:1_{F7A36AFE-66F0-4543-95E1-3BC12E50C0C0}" xr6:coauthVersionLast="45" xr6:coauthVersionMax="46" xr10:uidLastSave="{4507E4B1-4DE2-45AD-8310-F92439E2BCDE}"/>
  <bookViews>
    <workbookView xWindow="1170" yWindow="1170" windowWidth="21600" windowHeight="11385" xr2:uid="{EA36D284-D47D-4EA1-9E63-54AC0AAB410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0" i="1" l="1"/>
  <c r="C2" i="1" l="1"/>
  <c r="D2" i="1"/>
  <c r="H2" i="1" s="1"/>
  <c r="E2" i="1"/>
  <c r="D3" i="1"/>
  <c r="H3" i="1" s="1"/>
  <c r="E3" i="1"/>
  <c r="D4" i="1"/>
  <c r="H4" i="1" s="1"/>
  <c r="E4" i="1"/>
  <c r="D5" i="1"/>
  <c r="E5" i="1"/>
  <c r="D6" i="1"/>
  <c r="E6" i="1"/>
  <c r="D7" i="1"/>
  <c r="H7" i="1" s="1"/>
  <c r="E7" i="1"/>
  <c r="D8" i="1"/>
  <c r="H8" i="1" s="1"/>
  <c r="E8" i="1"/>
  <c r="D9" i="1"/>
  <c r="H9" i="1" s="1"/>
  <c r="E9" i="1"/>
  <c r="D10" i="1"/>
  <c r="H10" i="1" s="1"/>
  <c r="E10" i="1"/>
  <c r="D11" i="1"/>
  <c r="H11" i="1" s="1"/>
  <c r="E11" i="1"/>
  <c r="D12" i="1"/>
  <c r="H12" i="1" s="1"/>
  <c r="E12" i="1"/>
  <c r="D13" i="1"/>
  <c r="H13" i="1" s="1"/>
  <c r="E13" i="1"/>
  <c r="D14" i="1"/>
  <c r="H14" i="1" s="1"/>
  <c r="E14" i="1"/>
  <c r="D15" i="1"/>
  <c r="H15" i="1" s="1"/>
  <c r="E15" i="1"/>
  <c r="D16" i="1"/>
  <c r="H16" i="1" s="1"/>
  <c r="E16" i="1"/>
  <c r="D17" i="1"/>
  <c r="E17" i="1"/>
  <c r="D18" i="1"/>
  <c r="H18" i="1" s="1"/>
  <c r="E18" i="1"/>
  <c r="D19" i="1"/>
  <c r="H19" i="1" s="1"/>
  <c r="E19" i="1"/>
  <c r="D20" i="1"/>
  <c r="H20" i="1" s="1"/>
  <c r="E20" i="1"/>
  <c r="D21" i="1"/>
  <c r="E21" i="1"/>
  <c r="D22" i="1"/>
  <c r="E22" i="1"/>
  <c r="D23" i="1"/>
  <c r="H23" i="1" s="1"/>
  <c r="E23" i="1"/>
  <c r="D24" i="1"/>
  <c r="H24" i="1" s="1"/>
  <c r="E24" i="1"/>
  <c r="D25" i="1"/>
  <c r="E25" i="1"/>
  <c r="D26" i="1"/>
  <c r="H26" i="1" s="1"/>
  <c r="E26" i="1"/>
  <c r="D27" i="1"/>
  <c r="H27" i="1" s="1"/>
  <c r="E27" i="1"/>
  <c r="D28" i="1"/>
  <c r="H28" i="1" s="1"/>
  <c r="E28" i="1"/>
  <c r="D29" i="1"/>
  <c r="E29" i="1"/>
  <c r="D30" i="1"/>
  <c r="H30" i="1" s="1"/>
  <c r="E30" i="1"/>
  <c r="D31" i="1"/>
  <c r="H31" i="1" s="1"/>
  <c r="E31" i="1"/>
  <c r="D32" i="1"/>
  <c r="H32" i="1" s="1"/>
  <c r="E32" i="1"/>
  <c r="D33" i="1"/>
  <c r="H33" i="1" s="1"/>
  <c r="E33" i="1"/>
  <c r="D34" i="1"/>
  <c r="H34" i="1" s="1"/>
  <c r="E34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I18" i="1" s="1"/>
  <c r="M18" i="1" s="1"/>
  <c r="O19" i="1"/>
  <c r="O20" i="1"/>
  <c r="O21" i="1"/>
  <c r="O22" i="1"/>
  <c r="I22" i="1" s="1"/>
  <c r="M22" i="1" s="1"/>
  <c r="O23" i="1"/>
  <c r="O24" i="1"/>
  <c r="O25" i="1"/>
  <c r="O26" i="1"/>
  <c r="O27" i="1"/>
  <c r="O28" i="1"/>
  <c r="O29" i="1"/>
  <c r="O30" i="1"/>
  <c r="O31" i="1"/>
  <c r="O32" i="1"/>
  <c r="O33" i="1"/>
  <c r="O34" i="1"/>
  <c r="I34" i="1" s="1"/>
  <c r="M34" i="1" s="1"/>
  <c r="O35" i="1"/>
  <c r="I35" i="1" s="1"/>
  <c r="O2" i="1"/>
  <c r="O3" i="1"/>
  <c r="H5" i="1"/>
  <c r="H6" i="1"/>
  <c r="H17" i="1"/>
  <c r="H21" i="1"/>
  <c r="H22" i="1"/>
  <c r="H25" i="1"/>
  <c r="H29" i="1"/>
  <c r="H35" i="1"/>
  <c r="I30" i="1" l="1"/>
  <c r="M30" i="1" s="1"/>
  <c r="I14" i="1"/>
  <c r="K14" i="1" s="1"/>
  <c r="I10" i="1"/>
  <c r="M10" i="1" s="1"/>
  <c r="I26" i="1"/>
  <c r="M26" i="1" s="1"/>
  <c r="I6" i="1"/>
  <c r="M6" i="1" s="1"/>
  <c r="I33" i="1"/>
  <c r="L33" i="1" s="1"/>
  <c r="I29" i="1"/>
  <c r="M29" i="1" s="1"/>
  <c r="I25" i="1"/>
  <c r="L25" i="1" s="1"/>
  <c r="I21" i="1"/>
  <c r="L21" i="1" s="1"/>
  <c r="I17" i="1"/>
  <c r="L17" i="1" s="1"/>
  <c r="I9" i="1"/>
  <c r="L9" i="1" s="1"/>
  <c r="I5" i="1"/>
  <c r="M5" i="1" s="1"/>
  <c r="I31" i="1"/>
  <c r="L31" i="1" s="1"/>
  <c r="I19" i="1"/>
  <c r="N19" i="1" s="1"/>
  <c r="I7" i="1"/>
  <c r="L7" i="1" s="1"/>
  <c r="I27" i="1"/>
  <c r="M27" i="1" s="1"/>
  <c r="I23" i="1"/>
  <c r="N23" i="1" s="1"/>
  <c r="I15" i="1"/>
  <c r="N15" i="1" s="1"/>
  <c r="I11" i="1"/>
  <c r="N11" i="1" s="1"/>
  <c r="I3" i="1"/>
  <c r="N3" i="1" s="1"/>
  <c r="I32" i="1"/>
  <c r="N32" i="1" s="1"/>
  <c r="I28" i="1"/>
  <c r="J28" i="1" s="1"/>
  <c r="I24" i="1"/>
  <c r="L24" i="1" s="1"/>
  <c r="I20" i="1"/>
  <c r="N20" i="1" s="1"/>
  <c r="I16" i="1"/>
  <c r="J16" i="1" s="1"/>
  <c r="I12" i="1"/>
  <c r="K12" i="1" s="1"/>
  <c r="I8" i="1"/>
  <c r="L8" i="1" s="1"/>
  <c r="I4" i="1"/>
  <c r="L4" i="1" s="1"/>
  <c r="I13" i="1"/>
  <c r="K13" i="1" s="1"/>
  <c r="I2" i="1"/>
  <c r="M2" i="1" s="1"/>
  <c r="L29" i="1"/>
  <c r="L5" i="1"/>
  <c r="M33" i="1"/>
  <c r="M17" i="1"/>
  <c r="J29" i="1"/>
  <c r="J17" i="1"/>
  <c r="J35" i="1"/>
  <c r="J19" i="1"/>
  <c r="N35" i="1"/>
  <c r="L6" i="1"/>
  <c r="N34" i="1"/>
  <c r="N30" i="1"/>
  <c r="N22" i="1"/>
  <c r="N18" i="1"/>
  <c r="N14" i="1"/>
  <c r="N6" i="1"/>
  <c r="L35" i="1"/>
  <c r="L19" i="1"/>
  <c r="M35" i="1"/>
  <c r="M19" i="1"/>
  <c r="M15" i="1"/>
  <c r="N33" i="1"/>
  <c r="N17" i="1"/>
  <c r="N9" i="1"/>
  <c r="N5" i="1"/>
  <c r="L34" i="1"/>
  <c r="L30" i="1"/>
  <c r="L22" i="1"/>
  <c r="L18" i="1"/>
  <c r="L14" i="1"/>
  <c r="L10" i="1"/>
  <c r="M14" i="1"/>
  <c r="N28" i="1"/>
  <c r="J34" i="1"/>
  <c r="K34" i="1"/>
  <c r="J22" i="1"/>
  <c r="K22" i="1"/>
  <c r="J10" i="1"/>
  <c r="K10" i="1"/>
  <c r="J6" i="1"/>
  <c r="K6" i="1"/>
  <c r="J30" i="1"/>
  <c r="K30" i="1"/>
  <c r="J18" i="1"/>
  <c r="K18" i="1"/>
  <c r="K17" i="1"/>
  <c r="K29" i="1"/>
  <c r="K33" i="1"/>
  <c r="K11" i="1"/>
  <c r="K15" i="1"/>
  <c r="K19" i="1"/>
  <c r="K35" i="1"/>
  <c r="K24" i="1"/>
  <c r="K28" i="1"/>
  <c r="J14" i="1"/>
  <c r="K20" i="1" l="1"/>
  <c r="K7" i="1"/>
  <c r="K26" i="1"/>
  <c r="N24" i="1"/>
  <c r="J5" i="1"/>
  <c r="L26" i="1"/>
  <c r="K9" i="1"/>
  <c r="K5" i="1"/>
  <c r="J26" i="1"/>
  <c r="N29" i="1"/>
  <c r="N10" i="1"/>
  <c r="N26" i="1"/>
  <c r="J9" i="1"/>
  <c r="L12" i="1"/>
  <c r="J11" i="1"/>
  <c r="J24" i="1"/>
  <c r="J12" i="1"/>
  <c r="N12" i="1"/>
  <c r="M7" i="1"/>
  <c r="L15" i="1"/>
  <c r="L28" i="1"/>
  <c r="J15" i="1"/>
  <c r="J33" i="1"/>
  <c r="M9" i="1"/>
  <c r="J25" i="1"/>
  <c r="N16" i="1"/>
  <c r="L3" i="1"/>
  <c r="K25" i="1"/>
  <c r="K27" i="1"/>
  <c r="N25" i="1"/>
  <c r="M11" i="1"/>
  <c r="L11" i="1"/>
  <c r="J7" i="1"/>
  <c r="N7" i="1"/>
  <c r="M25" i="1"/>
  <c r="M12" i="1"/>
  <c r="M28" i="1"/>
  <c r="J13" i="1"/>
  <c r="N21" i="1"/>
  <c r="M23" i="1"/>
  <c r="J23" i="1"/>
  <c r="K32" i="1"/>
  <c r="K16" i="1"/>
  <c r="K23" i="1"/>
  <c r="K21" i="1"/>
  <c r="M31" i="1"/>
  <c r="N31" i="1"/>
  <c r="M32" i="1"/>
  <c r="L32" i="1"/>
  <c r="J31" i="1"/>
  <c r="J32" i="1"/>
  <c r="J21" i="1"/>
  <c r="M13" i="1"/>
  <c r="N13" i="1"/>
  <c r="L23" i="1"/>
  <c r="M21" i="1"/>
  <c r="K31" i="1"/>
  <c r="M16" i="1"/>
  <c r="L16" i="1"/>
  <c r="J27" i="1"/>
  <c r="J20" i="1"/>
  <c r="M3" i="1"/>
  <c r="N27" i="1"/>
  <c r="K3" i="1"/>
  <c r="L27" i="1"/>
  <c r="M20" i="1"/>
  <c r="M4" i="1"/>
  <c r="J3" i="1"/>
  <c r="N8" i="1"/>
  <c r="J8" i="1"/>
  <c r="K8" i="1"/>
  <c r="M8" i="1"/>
  <c r="M24" i="1"/>
  <c r="J4" i="1"/>
  <c r="L20" i="1"/>
  <c r="N4" i="1"/>
  <c r="K4" i="1"/>
  <c r="L13" i="1"/>
  <c r="K2" i="1"/>
  <c r="L2" i="1"/>
  <c r="J2" i="1"/>
  <c r="N2" i="1"/>
</calcChain>
</file>

<file path=xl/sharedStrings.xml><?xml version="1.0" encoding="utf-8"?>
<sst xmlns="http://schemas.openxmlformats.org/spreadsheetml/2006/main" count="97" uniqueCount="95">
  <si>
    <t>Name</t>
  </si>
  <si>
    <t>Life</t>
  </si>
  <si>
    <t>Offense</t>
  </si>
  <si>
    <t>Defense</t>
  </si>
  <si>
    <t>Gold</t>
  </si>
  <si>
    <t>Green Slime</t>
  </si>
  <si>
    <t>Red Slime</t>
  </si>
  <si>
    <t>Bat</t>
  </si>
  <si>
    <t>Priest</t>
  </si>
  <si>
    <t>Skeleton C</t>
  </si>
  <si>
    <t>Skeleton B</t>
  </si>
  <si>
    <t>Skeleton A</t>
  </si>
  <si>
    <t>Gate-Keeper C</t>
  </si>
  <si>
    <t>Big Slime</t>
  </si>
  <si>
    <t>Big Bat</t>
  </si>
  <si>
    <t>Superion Priest</t>
  </si>
  <si>
    <t>Rock</t>
  </si>
  <si>
    <t>Giant Octopus</t>
  </si>
  <si>
    <t>Great Magic Master</t>
  </si>
  <si>
    <t>Ghost Soldier</t>
  </si>
  <si>
    <t>Soldier</t>
  </si>
  <si>
    <t>Slime Man</t>
  </si>
  <si>
    <t>Gate-Keeper B</t>
  </si>
  <si>
    <t>Swordsman</t>
  </si>
  <si>
    <t>Knight</t>
  </si>
  <si>
    <t>Golden Knight</t>
  </si>
  <si>
    <t>Magician A</t>
  </si>
  <si>
    <t>Magician B</t>
  </si>
  <si>
    <t>Slime Lord</t>
  </si>
  <si>
    <t>Vampire Bat</t>
  </si>
  <si>
    <t>Dark Knight</t>
  </si>
  <si>
    <t>Magic Seargent</t>
  </si>
  <si>
    <t>Gate-Keeper A</t>
  </si>
  <si>
    <t>Magic Sergeant, Zeno</t>
  </si>
  <si>
    <t>pID</t>
  </si>
  <si>
    <t>ATK</t>
  </si>
  <si>
    <t>DEF</t>
  </si>
  <si>
    <t>Floor</t>
  </si>
  <si>
    <t xml:space="preserve"> 1 3 4 5 6 7 8 9 30 34 </t>
  </si>
  <si>
    <t xml:space="preserve"> 1 3 4 5 6 7 8 9 30 34 46 </t>
  </si>
  <si>
    <t xml:space="preserve"> 1 3 4 5 6 7 8 9 11 12 15 19 20 34 </t>
  </si>
  <si>
    <t xml:space="preserve"> 1 3 4 5 6 7 8 9 10 </t>
  </si>
  <si>
    <t xml:space="preserve"> 1 3 4 6 7 8 9 10 46 </t>
  </si>
  <si>
    <t xml:space="preserve"> 1 4 5 6 7 8 9 10 </t>
  </si>
  <si>
    <t xml:space="preserve"> 8 17 </t>
  </si>
  <si>
    <t xml:space="preserve"> 10 </t>
  </si>
  <si>
    <t xml:space="preserve"> 11 12 14 15 16 17 18 19 20 46 </t>
  </si>
  <si>
    <t xml:space="preserve"> 11 12 14 15 16 17 18 19 20 </t>
  </si>
  <si>
    <t xml:space="preserve"> 11 12 14 15 16 17 18 19 38 46 </t>
  </si>
  <si>
    <t xml:space="preserve"> 14 15 16 17 18 19 31 33 36 </t>
  </si>
  <si>
    <t xml:space="preserve"> 14 16 18 19 20 </t>
  </si>
  <si>
    <t xml:space="preserve"> 15 </t>
  </si>
  <si>
    <t xml:space="preserve"> 20 </t>
  </si>
  <si>
    <t xml:space="preserve"> 25 </t>
  </si>
  <si>
    <t xml:space="preserve"> 31 32 33 34 36 37 38 39 40 </t>
  </si>
  <si>
    <t xml:space="preserve"> 31 32 33 34 36 37 38 39 40 46 </t>
  </si>
  <si>
    <t xml:space="preserve"> 16 31 32 33 34 36 37 38 39 40 </t>
  </si>
  <si>
    <t xml:space="preserve"> 2 32 38 </t>
  </si>
  <si>
    <t xml:space="preserve"> 35 </t>
  </si>
  <si>
    <t xml:space="preserve"> 31 32 34 36 37 38 39 40 46 </t>
  </si>
  <si>
    <t xml:space="preserve"> 32 40 42 </t>
  </si>
  <si>
    <t xml:space="preserve"> 41 42 43 45 46 47 48 </t>
  </si>
  <si>
    <t xml:space="preserve"> 41 42 43 45 46 47 48 49 </t>
  </si>
  <si>
    <t xml:space="preserve"> 42 43 45 48 49 </t>
  </si>
  <si>
    <t xml:space="preserve"> 41 42 43 45 48 49 </t>
  </si>
  <si>
    <t xml:space="preserve"> 44 </t>
  </si>
  <si>
    <t xml:space="preserve"> 49 </t>
  </si>
  <si>
    <t xml:space="preserve"> 50 </t>
  </si>
  <si>
    <t>Floor(s)</t>
  </si>
  <si>
    <t>(2nd round)</t>
  </si>
  <si>
    <t>Damage</t>
  </si>
  <si>
    <t>Next Few Critical Values</t>
  </si>
  <si>
    <t>Loss/Hit</t>
  </si>
  <si>
    <t># of Hits</t>
  </si>
  <si>
    <t>Cross</t>
  </si>
  <si>
    <t>DragonSl</t>
  </si>
  <si>
    <t>Zombie [C]</t>
  </si>
  <si>
    <t>Zombie Knight [C]</t>
  </si>
  <si>
    <t>Vampire [C]</t>
  </si>
  <si>
    <t>Dragon [D]</t>
  </si>
  <si>
    <t>Interval</t>
  </si>
  <si>
    <t>1st</t>
  </si>
  <si>
    <t>2nd</t>
  </si>
  <si>
    <t xml:space="preserve"> 31 33 34 36 37 38 39 40 46 </t>
  </si>
  <si>
    <t xml:space="preserve"> 11 12 14 15 16 17 18 19 30 34 </t>
  </si>
  <si>
    <t>Notes</t>
  </si>
  <si>
    <t>You must enable "macro" in this file in order to make the spreadsheet function properly.</t>
  </si>
  <si>
    <t>Tick "ShowAll" (in cell P1) to show all monsters' data, or uncheck it to show only monsters in the current floor.</t>
  </si>
  <si>
    <t>Tick "Pause" (in cell Q1) to stop refreshing the game data.</t>
  </si>
  <si>
    <t>To prevent undesired and unintentional misoperation, saving this file is highly deprecated. So this spreadsheet will be directly closed without asking you "whether to save" even if change(s) are made.</t>
  </si>
  <si>
    <t>Column H: damage per hit; column I: number of hits YOU will take, which is # hits TO the monster MINUS ONE; Column K to N: if your offensive power were raised by these values, # hits would be reduced by 1 to 4.</t>
  </si>
  <si>
    <t>If the monster's name is in bold font, it means that you can't eliminate it by a destructive ball; if the name includes "[C]" or "[D]" in the end, it means it will be affected by a cross or dragon slayer.</t>
  </si>
  <si>
    <t>If a row has a blue background instead of red, it means the monster is currently affected by a cross or dragon slayer.</t>
  </si>
  <si>
    <t>When the checkbox "Pause" is ticked, you can manually assign your offensive / defensive power in cells U1 and W1, and indicate whether you have a cross or dragon slayer in cells AA1 and AC1.</t>
  </si>
  <si>
    <t>In drop-down list in cell A1, you can indicate whether you are in the 1st or 2nd round (a.k.a. "the back side") of the game.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</si>
</sst>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True&quot;;&quot;True&quot;;&quot;False&quot;"/>
    <numFmt numFmtId="165" formatCode="\ "/>
    <numFmt numFmtId="166" formatCode="&quot;00:&quot;00"/>
  </numFmts>
  <fonts count="14" x14ac:knownFonts="1">
    <font>
      <sz val="11"/>
      <color theme="1"/>
      <name val="微软雅黑"/>
      <family val="2"/>
      <charset val="134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C00000"/>
      <name val="Arial"/>
      <family val="2"/>
    </font>
    <font>
      <b/>
      <sz val="10"/>
      <color rgb="FFC00000"/>
      <name val="Arial"/>
      <family val="2"/>
    </font>
    <font>
      <sz val="10"/>
      <color rgb="FFC00000"/>
      <name val="Arial"/>
      <family val="2"/>
    </font>
    <font>
      <b/>
      <sz val="10"/>
      <color theme="1"/>
      <name val="Arial"/>
      <family val="2"/>
    </font>
    <font>
      <b/>
      <sz val="10"/>
      <color theme="0" tint="-0.34998626667073579"/>
      <name val="Arial"/>
      <family val="2"/>
    </font>
    <font>
      <sz val="10"/>
      <color theme="0" tint="-0.34998626667073579"/>
      <name val="Arial"/>
      <family val="2"/>
    </font>
    <font>
      <sz val="11"/>
      <color theme="4" tint="-0.499984740745262"/>
      <name val="Arial"/>
      <family val="2"/>
    </font>
    <font>
      <sz val="11"/>
      <color theme="0"/>
      <name val="Arial"/>
      <family val="2"/>
    </font>
    <font>
      <sz val="8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5" fontId="1" fillId="0" borderId="0" xfId="0" applyNumberFormat="1" applyFont="1"/>
    <xf numFmtId="0" fontId="2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49" fontId="9" fillId="3" borderId="2" xfId="0" applyNumberFormat="1" applyFont="1" applyFill="1" applyBorder="1" applyAlignment="1">
      <alignment horizontal="center" vertical="center" wrapText="1"/>
    </xf>
    <xf numFmtId="49" fontId="10" fillId="0" borderId="1" xfId="0" applyNumberFormat="1" applyFont="1" applyBorder="1" applyAlignment="1">
      <alignment horizontal="center" vertical="center" wrapText="1"/>
    </xf>
    <xf numFmtId="49" fontId="10" fillId="0" borderId="7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0" fontId="3" fillId="3" borderId="12" xfId="0" applyFont="1" applyFill="1" applyBorder="1" applyAlignment="1">
      <alignment horizontal="center"/>
    </xf>
    <xf numFmtId="1" fontId="4" fillId="2" borderId="1" xfId="0" applyNumberFormat="1" applyFont="1" applyFill="1" applyBorder="1" applyAlignment="1">
      <alignment horizontal="center" vertical="center" wrapText="1"/>
    </xf>
    <xf numFmtId="1" fontId="4" fillId="2" borderId="7" xfId="0" applyNumberFormat="1" applyFont="1" applyFill="1" applyBorder="1" applyAlignment="1">
      <alignment horizontal="center" vertical="center" wrapText="1"/>
    </xf>
    <xf numFmtId="1" fontId="9" fillId="2" borderId="1" xfId="0" applyNumberFormat="1" applyFont="1" applyFill="1" applyBorder="1" applyAlignment="1">
      <alignment horizontal="center" vertical="center" wrapText="1"/>
    </xf>
    <xf numFmtId="1" fontId="9" fillId="2" borderId="7" xfId="0" applyNumberFormat="1" applyFont="1" applyFill="1" applyBorder="1" applyAlignment="1">
      <alignment horizontal="center" vertical="center" wrapText="1"/>
    </xf>
    <xf numFmtId="0" fontId="12" fillId="0" borderId="0" xfId="0" applyNumberFormat="1" applyFont="1"/>
    <xf numFmtId="0" fontId="3" fillId="4" borderId="9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4" fillId="0" borderId="0" xfId="0" applyFont="1" applyAlignment="1"/>
    <xf numFmtId="0" fontId="3" fillId="0" borderId="0" xfId="0" applyNumberFormat="1" applyFont="1"/>
    <xf numFmtId="0" fontId="2" fillId="0" borderId="0" xfId="0" applyFont="1"/>
    <xf numFmtId="0" fontId="3" fillId="0" borderId="0" xfId="0" applyFont="1" applyAlignment="1">
      <alignment horizontal="center"/>
    </xf>
  </cellXfs>
  <cellStyles count="1">
    <cellStyle name="Normal" xfId="0" builtinId="0"/>
  </cellStyles>
  <dxfs count="1">
    <dxf>
      <font>
        <color theme="4" tint="-0.499984740745262"/>
      </font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Drop" dropLines="2" dropStyle="combo" dx="26" fmlaLink="$A$1" fmlaRange="A36:A38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26" Type="http://schemas.openxmlformats.org/officeDocument/2006/relationships/image" Target="../media/image30.png"/><Relationship Id="rId3" Type="http://schemas.openxmlformats.org/officeDocument/2006/relationships/image" Target="../media/image7.png"/><Relationship Id="rId21" Type="http://schemas.openxmlformats.org/officeDocument/2006/relationships/image" Target="../media/image25.png"/><Relationship Id="rId7" Type="http://schemas.openxmlformats.org/officeDocument/2006/relationships/image" Target="../media/image11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7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0" Type="http://schemas.openxmlformats.org/officeDocument/2006/relationships/image" Target="../media/image24.png"/><Relationship Id="rId29" Type="http://schemas.openxmlformats.org/officeDocument/2006/relationships/image" Target="../media/image33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6.png"/><Relationship Id="rId5" Type="http://schemas.openxmlformats.org/officeDocument/2006/relationships/image" Target="../media/image9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image" Target="../media/image32.png"/><Relationship Id="rId10" Type="http://schemas.openxmlformats.org/officeDocument/2006/relationships/image" Target="../media/image14.png"/><Relationship Id="rId19" Type="http://schemas.openxmlformats.org/officeDocument/2006/relationships/image" Target="../media/image23.png"/><Relationship Id="rId31" Type="http://schemas.openxmlformats.org/officeDocument/2006/relationships/image" Target="../media/image35.png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4.png"/><Relationship Id="rId8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304800</xdr:colOff>
      <xdr:row>1</xdr:row>
      <xdr:rowOff>304800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098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0</xdr:rowOff>
    </xdr:from>
    <xdr:to>
      <xdr:col>0</xdr:col>
      <xdr:colOff>304800</xdr:colOff>
      <xdr:row>2</xdr:row>
      <xdr:rowOff>304800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916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0</xdr:rowOff>
    </xdr:from>
    <xdr:to>
      <xdr:col>0</xdr:col>
      <xdr:colOff>304800</xdr:colOff>
      <xdr:row>9</xdr:row>
      <xdr:rowOff>304800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68630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28</xdr:row>
      <xdr:rowOff>0</xdr:rowOff>
    </xdr:from>
    <xdr:to>
      <xdr:col>0</xdr:col>
      <xdr:colOff>299258</xdr:colOff>
      <xdr:row>28</xdr:row>
      <xdr:rowOff>302722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849600"/>
          <a:ext cx="299258" cy="30272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0</xdr:rowOff>
    </xdr:from>
    <xdr:to>
      <xdr:col>0</xdr:col>
      <xdr:colOff>304800</xdr:colOff>
      <xdr:row>3</xdr:row>
      <xdr:rowOff>304800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304800</xdr:colOff>
      <xdr:row>10</xdr:row>
      <xdr:rowOff>304800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36448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304800</xdr:colOff>
      <xdr:row>29</xdr:row>
      <xdr:rowOff>306878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362218"/>
          <a:ext cx="304800" cy="30687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16</xdr:row>
      <xdr:rowOff>0</xdr:rowOff>
    </xdr:from>
    <xdr:to>
      <xdr:col>0</xdr:col>
      <xdr:colOff>299258</xdr:colOff>
      <xdr:row>16</xdr:row>
      <xdr:rowOff>302029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116291"/>
          <a:ext cx="299258" cy="30272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0</xdr:rowOff>
    </xdr:from>
    <xdr:to>
      <xdr:col>0</xdr:col>
      <xdr:colOff>304800</xdr:colOff>
      <xdr:row>5</xdr:row>
      <xdr:rowOff>304800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10134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0</xdr:rowOff>
    </xdr:from>
    <xdr:to>
      <xdr:col>0</xdr:col>
      <xdr:colOff>304800</xdr:colOff>
      <xdr:row>6</xdr:row>
      <xdr:rowOff>304800</xdr:rowOff>
    </xdr:to>
    <xdr:pic>
      <xdr:nvPicPr>
        <xdr:cNvPr id="24" name="图片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26898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0</xdr:rowOff>
    </xdr:from>
    <xdr:to>
      <xdr:col>0</xdr:col>
      <xdr:colOff>304800</xdr:colOff>
      <xdr:row>8</xdr:row>
      <xdr:rowOff>304800</xdr:rowOff>
    </xdr:to>
    <xdr:pic>
      <xdr:nvPicPr>
        <xdr:cNvPr id="26" name="图片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46532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18</xdr:row>
      <xdr:rowOff>0</xdr:rowOff>
    </xdr:from>
    <xdr:to>
      <xdr:col>0</xdr:col>
      <xdr:colOff>299258</xdr:colOff>
      <xdr:row>18</xdr:row>
      <xdr:rowOff>305493</xdr:rowOff>
    </xdr:to>
    <xdr:pic>
      <xdr:nvPicPr>
        <xdr:cNvPr id="28" name="图片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850582"/>
          <a:ext cx="299258" cy="30549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0</xdr:rowOff>
    </xdr:from>
    <xdr:to>
      <xdr:col>0</xdr:col>
      <xdr:colOff>299258</xdr:colOff>
      <xdr:row>12</xdr:row>
      <xdr:rowOff>306879</xdr:rowOff>
    </xdr:to>
    <xdr:pic>
      <xdr:nvPicPr>
        <xdr:cNvPr id="30" name="图片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899564"/>
          <a:ext cx="299258" cy="30687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13</xdr:row>
      <xdr:rowOff>0</xdr:rowOff>
    </xdr:from>
    <xdr:to>
      <xdr:col>0</xdr:col>
      <xdr:colOff>304800</xdr:colOff>
      <xdr:row>13</xdr:row>
      <xdr:rowOff>304800</xdr:rowOff>
    </xdr:to>
    <xdr:pic>
      <xdr:nvPicPr>
        <xdr:cNvPr id="32" name="图片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744691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304800</xdr:colOff>
      <xdr:row>14</xdr:row>
      <xdr:rowOff>304800</xdr:rowOff>
    </xdr:to>
    <xdr:pic>
      <xdr:nvPicPr>
        <xdr:cNvPr id="34" name="图片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423564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20</xdr:row>
      <xdr:rowOff>0</xdr:rowOff>
    </xdr:from>
    <xdr:to>
      <xdr:col>0</xdr:col>
      <xdr:colOff>299258</xdr:colOff>
      <xdr:row>20</xdr:row>
      <xdr:rowOff>304800</xdr:rowOff>
    </xdr:to>
    <xdr:pic>
      <xdr:nvPicPr>
        <xdr:cNvPr id="36" name="图片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374582"/>
          <a:ext cx="299258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0</xdr:rowOff>
    </xdr:from>
    <xdr:to>
      <xdr:col>0</xdr:col>
      <xdr:colOff>304800</xdr:colOff>
      <xdr:row>4</xdr:row>
      <xdr:rowOff>304800</xdr:rowOff>
    </xdr:to>
    <xdr:pic>
      <xdr:nvPicPr>
        <xdr:cNvPr id="38" name="图片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9080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0</xdr:rowOff>
    </xdr:from>
    <xdr:to>
      <xdr:col>0</xdr:col>
      <xdr:colOff>304800</xdr:colOff>
      <xdr:row>11</xdr:row>
      <xdr:rowOff>304800</xdr:rowOff>
    </xdr:to>
    <xdr:pic>
      <xdr:nvPicPr>
        <xdr:cNvPr id="40" name="图片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31698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26</xdr:row>
      <xdr:rowOff>0</xdr:rowOff>
    </xdr:from>
    <xdr:to>
      <xdr:col>0</xdr:col>
      <xdr:colOff>304800</xdr:colOff>
      <xdr:row>26</xdr:row>
      <xdr:rowOff>302722</xdr:rowOff>
    </xdr:to>
    <xdr:pic>
      <xdr:nvPicPr>
        <xdr:cNvPr id="42" name="图片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658109"/>
          <a:ext cx="304800" cy="30272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304800</xdr:colOff>
      <xdr:row>27</xdr:row>
      <xdr:rowOff>302722</xdr:rowOff>
    </xdr:to>
    <xdr:pic>
      <xdr:nvPicPr>
        <xdr:cNvPr id="44" name="图片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170727"/>
          <a:ext cx="304800" cy="302722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0</xdr:rowOff>
    </xdr:from>
    <xdr:to>
      <xdr:col>0</xdr:col>
      <xdr:colOff>304800</xdr:colOff>
      <xdr:row>7</xdr:row>
      <xdr:rowOff>304800</xdr:rowOff>
    </xdr:to>
    <xdr:pic>
      <xdr:nvPicPr>
        <xdr:cNvPr id="46" name="图片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78580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21</xdr:row>
      <xdr:rowOff>0</xdr:rowOff>
    </xdr:from>
    <xdr:to>
      <xdr:col>0</xdr:col>
      <xdr:colOff>299259</xdr:colOff>
      <xdr:row>21</xdr:row>
      <xdr:rowOff>306878</xdr:rowOff>
    </xdr:to>
    <xdr:pic>
      <xdr:nvPicPr>
        <xdr:cNvPr id="48" name="图片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219709"/>
          <a:ext cx="299259" cy="30687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32</xdr:row>
      <xdr:rowOff>39486</xdr:rowOff>
    </xdr:from>
    <xdr:to>
      <xdr:col>0</xdr:col>
      <xdr:colOff>304800</xdr:colOff>
      <xdr:row>32</xdr:row>
      <xdr:rowOff>342900</xdr:rowOff>
    </xdr:to>
    <xdr:pic>
      <xdr:nvPicPr>
        <xdr:cNvPr id="50" name="图片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773304"/>
          <a:ext cx="304800" cy="30687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22</xdr:row>
      <xdr:rowOff>0</xdr:rowOff>
    </xdr:from>
    <xdr:to>
      <xdr:col>0</xdr:col>
      <xdr:colOff>304800</xdr:colOff>
      <xdr:row>22</xdr:row>
      <xdr:rowOff>304800</xdr:rowOff>
    </xdr:to>
    <xdr:pic>
      <xdr:nvPicPr>
        <xdr:cNvPr id="52" name="图片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566073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299258</xdr:colOff>
      <xdr:row>19</xdr:row>
      <xdr:rowOff>304800</xdr:rowOff>
    </xdr:to>
    <xdr:pic>
      <xdr:nvPicPr>
        <xdr:cNvPr id="54" name="图片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529455"/>
          <a:ext cx="299258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25</xdr:row>
      <xdr:rowOff>0</xdr:rowOff>
    </xdr:from>
    <xdr:to>
      <xdr:col>0</xdr:col>
      <xdr:colOff>299258</xdr:colOff>
      <xdr:row>25</xdr:row>
      <xdr:rowOff>306878</xdr:rowOff>
    </xdr:to>
    <xdr:pic>
      <xdr:nvPicPr>
        <xdr:cNvPr id="56" name="图片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11745"/>
          <a:ext cx="299258" cy="30687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24</xdr:row>
      <xdr:rowOff>0</xdr:rowOff>
    </xdr:from>
    <xdr:to>
      <xdr:col>0</xdr:col>
      <xdr:colOff>304800</xdr:colOff>
      <xdr:row>24</xdr:row>
      <xdr:rowOff>306878</xdr:rowOff>
    </xdr:to>
    <xdr:pic>
      <xdr:nvPicPr>
        <xdr:cNvPr id="58" name="图片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632873"/>
          <a:ext cx="304800" cy="30687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304800</xdr:colOff>
      <xdr:row>30</xdr:row>
      <xdr:rowOff>304800</xdr:rowOff>
    </xdr:to>
    <xdr:pic>
      <xdr:nvPicPr>
        <xdr:cNvPr id="60" name="图片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874836"/>
          <a:ext cx="304800" cy="30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304800</xdr:colOff>
      <xdr:row>33</xdr:row>
      <xdr:rowOff>306879</xdr:rowOff>
    </xdr:to>
    <xdr:pic>
      <xdr:nvPicPr>
        <xdr:cNvPr id="62" name="图片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80182"/>
          <a:ext cx="304800" cy="30687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31</xdr:row>
      <xdr:rowOff>0</xdr:rowOff>
    </xdr:from>
    <xdr:to>
      <xdr:col>0</xdr:col>
      <xdr:colOff>299258</xdr:colOff>
      <xdr:row>31</xdr:row>
      <xdr:rowOff>306879</xdr:rowOff>
    </xdr:to>
    <xdr:pic>
      <xdr:nvPicPr>
        <xdr:cNvPr id="64" name="图片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221200"/>
          <a:ext cx="299258" cy="30687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17</xdr:row>
      <xdr:rowOff>0</xdr:rowOff>
    </xdr:from>
    <xdr:to>
      <xdr:col>0</xdr:col>
      <xdr:colOff>299258</xdr:colOff>
      <xdr:row>17</xdr:row>
      <xdr:rowOff>308263</xdr:rowOff>
    </xdr:to>
    <xdr:pic>
      <xdr:nvPicPr>
        <xdr:cNvPr id="66" name="图片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337964"/>
          <a:ext cx="299258" cy="30826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23</xdr:row>
      <xdr:rowOff>0</xdr:rowOff>
    </xdr:from>
    <xdr:to>
      <xdr:col>0</xdr:col>
      <xdr:colOff>304800</xdr:colOff>
      <xdr:row>23</xdr:row>
      <xdr:rowOff>307570</xdr:rowOff>
    </xdr:to>
    <xdr:pic>
      <xdr:nvPicPr>
        <xdr:cNvPr id="68" name="图片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411200"/>
          <a:ext cx="304800" cy="30826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0</xdr:rowOff>
    </xdr:from>
    <xdr:to>
      <xdr:col>0</xdr:col>
      <xdr:colOff>304800</xdr:colOff>
      <xdr:row>15</xdr:row>
      <xdr:rowOff>305493</xdr:rowOff>
    </xdr:to>
    <xdr:pic>
      <xdr:nvPicPr>
        <xdr:cNvPr id="70" name="图片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769927"/>
          <a:ext cx="304800" cy="305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1</xdr:row>
          <xdr:rowOff>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1069" name="CheckBox2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542925</xdr:colOff>
          <xdr:row>0</xdr:row>
          <xdr:rowOff>0</xdr:rowOff>
        </xdr:from>
        <xdr:to>
          <xdr:col>31</xdr:col>
          <xdr:colOff>0</xdr:colOff>
          <xdr:row>1</xdr:row>
          <xdr:rowOff>0</xdr:rowOff>
        </xdr:to>
        <xdr:sp macro="" textlink="">
          <xdr:nvSpPr>
            <xdr:cNvPr id="1071" name="SpinButton1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0</xdr:row>
          <xdr:rowOff>180975</xdr:rowOff>
        </xdr:to>
        <xdr:sp macro="" textlink="">
          <xdr:nvSpPr>
            <xdr:cNvPr id="1073" name="Round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C3F5C-407D-49C2-803A-6CB092D11907}">
  <sheetPr codeName="Sheet1"/>
  <dimension ref="A1:AE48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8.77734375" defaultRowHeight="14.25" x14ac:dyDescent="0.2"/>
  <cols>
    <col min="1" max="1" width="4.6640625" style="2" customWidth="1"/>
    <col min="2" max="2" width="16.6640625" style="2" customWidth="1"/>
    <col min="3" max="5" width="6.6640625" style="3" customWidth="1"/>
    <col min="6" max="6" width="6.6640625" style="36" customWidth="1"/>
    <col min="7" max="7" width="12.21875" style="37" hidden="1" customWidth="1"/>
    <col min="8" max="8" width="6.6640625" style="24" customWidth="1"/>
    <col min="9" max="9" width="6.6640625" style="25" customWidth="1"/>
    <col min="10" max="10" width="6.6640625" style="24" customWidth="1"/>
    <col min="11" max="14" width="6.6640625" style="25" customWidth="1"/>
    <col min="15" max="17" width="8.77734375" style="1"/>
    <col min="18" max="19" width="8.77734375" style="1" hidden="1" customWidth="1"/>
    <col min="20" max="23" width="8.77734375" style="1"/>
    <col min="24" max="25" width="0" style="1" hidden="1" customWidth="1"/>
    <col min="26" max="16384" width="8.77734375" style="1"/>
  </cols>
  <sheetData>
    <row r="1" spans="1:31" ht="17.45" customHeight="1" x14ac:dyDescent="0.2">
      <c r="A1" s="40">
        <v>1</v>
      </c>
      <c r="B1" s="10" t="s">
        <v>0</v>
      </c>
      <c r="C1" s="11" t="s">
        <v>1</v>
      </c>
      <c r="D1" s="11" t="s">
        <v>2</v>
      </c>
      <c r="E1" s="12" t="s">
        <v>3</v>
      </c>
      <c r="F1" s="32" t="s">
        <v>4</v>
      </c>
      <c r="G1" s="33" t="s">
        <v>68</v>
      </c>
      <c r="H1" s="17" t="s">
        <v>72</v>
      </c>
      <c r="I1" s="17" t="s">
        <v>73</v>
      </c>
      <c r="J1" s="31" t="s">
        <v>70</v>
      </c>
      <c r="K1" s="46" t="s">
        <v>71</v>
      </c>
      <c r="L1" s="47"/>
      <c r="M1" s="47"/>
      <c r="N1" s="48"/>
      <c r="R1" s="4" t="s">
        <v>34</v>
      </c>
      <c r="S1" s="5">
        <v>0</v>
      </c>
      <c r="T1" s="4" t="s">
        <v>35</v>
      </c>
      <c r="U1" s="5">
        <v>100</v>
      </c>
      <c r="V1" s="4" t="s">
        <v>36</v>
      </c>
      <c r="W1" s="5">
        <v>100</v>
      </c>
      <c r="X1" s="4" t="s">
        <v>37</v>
      </c>
      <c r="Y1" s="5">
        <v>0</v>
      </c>
      <c r="Z1" s="4" t="s">
        <v>74</v>
      </c>
      <c r="AA1" s="22">
        <v>1</v>
      </c>
      <c r="AB1" s="4" t="s">
        <v>75</v>
      </c>
      <c r="AC1" s="22">
        <v>1</v>
      </c>
      <c r="AD1" s="38" t="s">
        <v>80</v>
      </c>
      <c r="AE1" s="39">
        <v>2</v>
      </c>
    </row>
    <row r="2" spans="1:31" ht="24" customHeight="1" x14ac:dyDescent="0.2">
      <c r="A2" s="13"/>
      <c r="B2" s="7" t="s">
        <v>5</v>
      </c>
      <c r="C2" s="41">
        <f t="shared" ref="C2:C34" si="0">P2*($A$1*43-42)</f>
        <v>35</v>
      </c>
      <c r="D2" s="41">
        <f t="shared" ref="D2:E17" si="1">Q2*($A$1*43-42)</f>
        <v>18</v>
      </c>
      <c r="E2" s="41">
        <f t="shared" si="1"/>
        <v>1</v>
      </c>
      <c r="F2" s="43">
        <v>1</v>
      </c>
      <c r="G2" s="34" t="s">
        <v>38</v>
      </c>
      <c r="H2" s="18">
        <f>MAX(0,D2-W$1)</f>
        <v>0</v>
      </c>
      <c r="I2" s="6">
        <f>IF(U$1*O2&gt;E2,_xlfn.CEILING.MATH(C2/(U$1*O2-E2))-1,"NaN")</f>
        <v>0</v>
      </c>
      <c r="J2" s="19">
        <f>IF(ISNUMBER(I2),H2*I2,"NaN")</f>
        <v>0</v>
      </c>
      <c r="K2" s="29" t="str">
        <f>IF(ISNUMBER(I2),IF(I2&lt;1,"-",_xlfn.CEILING.MATH((C2/I2+E2)/O2-U$1)),_xlfn.CEILING.MATH((1+E2)/O2-U$1))</f>
        <v>-</v>
      </c>
      <c r="L2" s="6" t="str">
        <f>IF(ISNUMBER(I2),IF(I2&lt;2,"-",_xlfn.CEILING.MATH((C2/(I2-1)+E2)/O2-U$1)),_xlfn.CEILING.MATH((2+E2)/O2-U$1))</f>
        <v>-</v>
      </c>
      <c r="M2" s="6" t="str">
        <f>IF(ISNUMBER(I2),IF(I2&lt;3,"-",_xlfn.CEILING.MATH((C2/(I2-2)+E2)/O2-U$1)),_xlfn.CEILING.MATH((3+E2)/O2-U$1))</f>
        <v>-</v>
      </c>
      <c r="N2" s="26" t="str">
        <f>IF(ISNUMBER(I2),IF(I2&lt;4,"-",_xlfn.CEILING.MATH((C2/(I2-3)+E2)/O2-U$1)),_xlfn.CEILING.MATH((4+E2)/O2-U$1))</f>
        <v>-</v>
      </c>
      <c r="O2" s="23">
        <f>IF(OR(AND(ISNUMBER(FIND("[C]",B2)),AA$1),AND(ISNUMBER(FIND("[D]",B2)),AC$1)),2,1)</f>
        <v>1</v>
      </c>
      <c r="P2" s="23">
        <v>35</v>
      </c>
      <c r="Q2" s="23">
        <v>18</v>
      </c>
      <c r="R2" s="23">
        <v>1</v>
      </c>
      <c r="S2" s="23"/>
    </row>
    <row r="3" spans="1:31" ht="24" customHeight="1" x14ac:dyDescent="0.2">
      <c r="A3" s="13"/>
      <c r="B3" s="7" t="s">
        <v>6</v>
      </c>
      <c r="C3" s="41">
        <f t="shared" si="0"/>
        <v>45</v>
      </c>
      <c r="D3" s="41">
        <f t="shared" si="1"/>
        <v>20</v>
      </c>
      <c r="E3" s="41">
        <f t="shared" si="1"/>
        <v>2</v>
      </c>
      <c r="F3" s="43">
        <v>2</v>
      </c>
      <c r="G3" s="34" t="s">
        <v>39</v>
      </c>
      <c r="H3" s="18">
        <f t="shared" ref="H3:H35" si="2">MAX(0,D3-W$1)</f>
        <v>0</v>
      </c>
      <c r="I3" s="6">
        <f t="shared" ref="I3:I35" si="3">IF(U$1*O3&gt;E3,_xlfn.CEILING.MATH(C3/(U$1*O3-E3))-1,"NaN")</f>
        <v>0</v>
      </c>
      <c r="J3" s="19">
        <f t="shared" ref="J3:J35" si="4">IF(ISNUMBER(I3),H3*I3,"NaN")</f>
        <v>0</v>
      </c>
      <c r="K3" s="29" t="str">
        <f>IF(ISNUMBER(I3),IF(I3&lt;1,"-",_xlfn.CEILING.MATH((C3/I3+E3)/O3-U$1)),_xlfn.CEILING.MATH((1+E3)/O3-U$1))</f>
        <v>-</v>
      </c>
      <c r="L3" s="6" t="str">
        <f t="shared" ref="L3:L35" si="5">IF(ISNUMBER(I3),IF(I3&lt;2,"-",_xlfn.CEILING.MATH((C3/(I3-1)+E3)/O3-U$1)),_xlfn.CEILING.MATH((2+E3)/O3-U$1))</f>
        <v>-</v>
      </c>
      <c r="M3" s="6" t="str">
        <f t="shared" ref="M3:M35" si="6">IF(ISNUMBER(I3),IF(I3&lt;3,"-",_xlfn.CEILING.MATH((C3/(I3-2)+E3)/O3-U$1)),_xlfn.CEILING.MATH((3+E3)/O3-U$1))</f>
        <v>-</v>
      </c>
      <c r="N3" s="26" t="str">
        <f t="shared" ref="N3:N35" si="7">IF(ISNUMBER(I3),IF(I3&lt;4,"-",_xlfn.CEILING.MATH((C3/(I3-3)+E3)/O3-U$1)),_xlfn.CEILING.MATH((4+E3)/O3-U$1))</f>
        <v>-</v>
      </c>
      <c r="O3" s="23">
        <f>IF(OR(AND(ISNUMBER(FIND("[C]",B3)),AA$1),AND(ISNUMBER(FIND("[D]",B3)),AC$1)),2,1)</f>
        <v>1</v>
      </c>
      <c r="P3" s="23">
        <v>45</v>
      </c>
      <c r="Q3" s="23">
        <v>20</v>
      </c>
      <c r="R3" s="23">
        <v>2</v>
      </c>
      <c r="S3" s="23"/>
    </row>
    <row r="4" spans="1:31" ht="24" customHeight="1" x14ac:dyDescent="0.2">
      <c r="A4" s="14"/>
      <c r="B4" s="8" t="s">
        <v>7</v>
      </c>
      <c r="C4" s="41">
        <f t="shared" si="0"/>
        <v>35</v>
      </c>
      <c r="D4" s="41">
        <f t="shared" si="1"/>
        <v>38</v>
      </c>
      <c r="E4" s="41">
        <f t="shared" si="1"/>
        <v>3</v>
      </c>
      <c r="F4" s="43">
        <v>3</v>
      </c>
      <c r="G4" s="34" t="s">
        <v>40</v>
      </c>
      <c r="H4" s="18">
        <f t="shared" si="2"/>
        <v>0</v>
      </c>
      <c r="I4" s="6">
        <f t="shared" si="3"/>
        <v>0</v>
      </c>
      <c r="J4" s="19">
        <f t="shared" si="4"/>
        <v>0</v>
      </c>
      <c r="K4" s="29" t="str">
        <f t="shared" ref="K4:K35" si="8">IF(ISNUMBER(I4),IF(I4&lt;1,"-",_xlfn.CEILING.MATH((C4/I4+E4)/O4-U$1)),_xlfn.CEILING.MATH((1+E4)/O4-U$1))</f>
        <v>-</v>
      </c>
      <c r="L4" s="6" t="str">
        <f t="shared" si="5"/>
        <v>-</v>
      </c>
      <c r="M4" s="6" t="str">
        <f t="shared" si="6"/>
        <v>-</v>
      </c>
      <c r="N4" s="26" t="str">
        <f t="shared" si="7"/>
        <v>-</v>
      </c>
      <c r="O4" s="23">
        <f t="shared" ref="O4:O35" si="9">IF(OR(AND(ISNUMBER(FIND("[C]",B4)),AA$1),AND(ISNUMBER(FIND("[D]",B4)),AC$1)),2,1)</f>
        <v>1</v>
      </c>
      <c r="P4" s="23">
        <v>35</v>
      </c>
      <c r="Q4" s="23">
        <v>38</v>
      </c>
      <c r="R4" s="23">
        <v>3</v>
      </c>
      <c r="S4" s="23"/>
    </row>
    <row r="5" spans="1:31" ht="24" customHeight="1" x14ac:dyDescent="0.2">
      <c r="A5" s="14"/>
      <c r="B5" s="8" t="s">
        <v>8</v>
      </c>
      <c r="C5" s="41">
        <f t="shared" si="0"/>
        <v>60</v>
      </c>
      <c r="D5" s="41">
        <f t="shared" si="1"/>
        <v>32</v>
      </c>
      <c r="E5" s="41">
        <f t="shared" si="1"/>
        <v>8</v>
      </c>
      <c r="F5" s="43">
        <v>5</v>
      </c>
      <c r="G5" s="34" t="s">
        <v>41</v>
      </c>
      <c r="H5" s="18">
        <f t="shared" si="2"/>
        <v>0</v>
      </c>
      <c r="I5" s="6">
        <f t="shared" si="3"/>
        <v>0</v>
      </c>
      <c r="J5" s="19">
        <f t="shared" si="4"/>
        <v>0</v>
      </c>
      <c r="K5" s="29" t="str">
        <f t="shared" si="8"/>
        <v>-</v>
      </c>
      <c r="L5" s="6" t="str">
        <f t="shared" si="5"/>
        <v>-</v>
      </c>
      <c r="M5" s="6" t="str">
        <f t="shared" si="6"/>
        <v>-</v>
      </c>
      <c r="N5" s="26" t="str">
        <f t="shared" si="7"/>
        <v>-</v>
      </c>
      <c r="O5" s="23">
        <f t="shared" si="9"/>
        <v>1</v>
      </c>
      <c r="P5" s="23">
        <v>60</v>
      </c>
      <c r="Q5" s="23">
        <v>32</v>
      </c>
      <c r="R5" s="23">
        <v>8</v>
      </c>
      <c r="S5" s="23"/>
    </row>
    <row r="6" spans="1:31" ht="24" customHeight="1" x14ac:dyDescent="0.2">
      <c r="A6" s="14"/>
      <c r="B6" s="8" t="s">
        <v>9</v>
      </c>
      <c r="C6" s="41">
        <f t="shared" si="0"/>
        <v>50</v>
      </c>
      <c r="D6" s="41">
        <f t="shared" si="1"/>
        <v>42</v>
      </c>
      <c r="E6" s="41">
        <f t="shared" si="1"/>
        <v>6</v>
      </c>
      <c r="F6" s="43">
        <v>6</v>
      </c>
      <c r="G6" s="34" t="s">
        <v>42</v>
      </c>
      <c r="H6" s="18">
        <f t="shared" si="2"/>
        <v>0</v>
      </c>
      <c r="I6" s="6">
        <f t="shared" si="3"/>
        <v>0</v>
      </c>
      <c r="J6" s="19">
        <f t="shared" si="4"/>
        <v>0</v>
      </c>
      <c r="K6" s="29" t="str">
        <f t="shared" si="8"/>
        <v>-</v>
      </c>
      <c r="L6" s="6" t="str">
        <f t="shared" si="5"/>
        <v>-</v>
      </c>
      <c r="M6" s="6" t="str">
        <f t="shared" si="6"/>
        <v>-</v>
      </c>
      <c r="N6" s="26" t="str">
        <f t="shared" si="7"/>
        <v>-</v>
      </c>
      <c r="O6" s="23">
        <f t="shared" si="9"/>
        <v>1</v>
      </c>
      <c r="P6" s="23">
        <v>50</v>
      </c>
      <c r="Q6" s="23">
        <v>42</v>
      </c>
      <c r="R6" s="23">
        <v>6</v>
      </c>
      <c r="S6" s="23"/>
    </row>
    <row r="7" spans="1:31" ht="24" customHeight="1" x14ac:dyDescent="0.2">
      <c r="A7" s="13"/>
      <c r="B7" s="7" t="s">
        <v>10</v>
      </c>
      <c r="C7" s="41">
        <f t="shared" si="0"/>
        <v>55</v>
      </c>
      <c r="D7" s="41">
        <f t="shared" si="1"/>
        <v>52</v>
      </c>
      <c r="E7" s="41">
        <f t="shared" si="1"/>
        <v>12</v>
      </c>
      <c r="F7" s="43">
        <v>8</v>
      </c>
      <c r="G7" s="34" t="s">
        <v>43</v>
      </c>
      <c r="H7" s="18">
        <f t="shared" si="2"/>
        <v>0</v>
      </c>
      <c r="I7" s="6">
        <f t="shared" si="3"/>
        <v>0</v>
      </c>
      <c r="J7" s="19">
        <f t="shared" si="4"/>
        <v>0</v>
      </c>
      <c r="K7" s="29" t="str">
        <f t="shared" si="8"/>
        <v>-</v>
      </c>
      <c r="L7" s="6" t="str">
        <f t="shared" si="5"/>
        <v>-</v>
      </c>
      <c r="M7" s="6" t="str">
        <f t="shared" si="6"/>
        <v>-</v>
      </c>
      <c r="N7" s="26" t="str">
        <f t="shared" si="7"/>
        <v>-</v>
      </c>
      <c r="O7" s="23">
        <f t="shared" si="9"/>
        <v>1</v>
      </c>
      <c r="P7" s="23">
        <v>55</v>
      </c>
      <c r="Q7" s="23">
        <v>52</v>
      </c>
      <c r="R7" s="23">
        <v>12</v>
      </c>
      <c r="S7" s="23"/>
    </row>
    <row r="8" spans="1:31" ht="24" customHeight="1" x14ac:dyDescent="0.2">
      <c r="A8" s="14"/>
      <c r="B8" s="8" t="s">
        <v>12</v>
      </c>
      <c r="C8" s="41">
        <f t="shared" si="0"/>
        <v>50</v>
      </c>
      <c r="D8" s="41">
        <f t="shared" si="1"/>
        <v>48</v>
      </c>
      <c r="E8" s="41">
        <f t="shared" si="1"/>
        <v>22</v>
      </c>
      <c r="F8" s="43">
        <v>12</v>
      </c>
      <c r="G8" s="34" t="s">
        <v>44</v>
      </c>
      <c r="H8" s="18">
        <f t="shared" si="2"/>
        <v>0</v>
      </c>
      <c r="I8" s="6">
        <f t="shared" si="3"/>
        <v>0</v>
      </c>
      <c r="J8" s="19">
        <f t="shared" si="4"/>
        <v>0</v>
      </c>
      <c r="K8" s="29" t="str">
        <f t="shared" si="8"/>
        <v>-</v>
      </c>
      <c r="L8" s="6" t="str">
        <f t="shared" si="5"/>
        <v>-</v>
      </c>
      <c r="M8" s="6" t="str">
        <f t="shared" si="6"/>
        <v>-</v>
      </c>
      <c r="N8" s="26" t="str">
        <f t="shared" si="7"/>
        <v>-</v>
      </c>
      <c r="O8" s="23">
        <f t="shared" si="9"/>
        <v>1</v>
      </c>
      <c r="P8" s="23">
        <v>50</v>
      </c>
      <c r="Q8" s="23">
        <v>48</v>
      </c>
      <c r="R8" s="23">
        <v>22</v>
      </c>
      <c r="S8" s="23"/>
    </row>
    <row r="9" spans="1:31" ht="24" customHeight="1" x14ac:dyDescent="0.2">
      <c r="A9" s="14"/>
      <c r="B9" s="8" t="s">
        <v>11</v>
      </c>
      <c r="C9" s="41">
        <f t="shared" si="0"/>
        <v>100</v>
      </c>
      <c r="D9" s="41">
        <f t="shared" si="1"/>
        <v>65</v>
      </c>
      <c r="E9" s="41">
        <f t="shared" si="1"/>
        <v>15</v>
      </c>
      <c r="F9" s="43">
        <v>30</v>
      </c>
      <c r="G9" s="34" t="s">
        <v>45</v>
      </c>
      <c r="H9" s="18">
        <f t="shared" si="2"/>
        <v>0</v>
      </c>
      <c r="I9" s="6">
        <f t="shared" si="3"/>
        <v>1</v>
      </c>
      <c r="J9" s="19">
        <f t="shared" si="4"/>
        <v>0</v>
      </c>
      <c r="K9" s="29">
        <f t="shared" si="8"/>
        <v>15</v>
      </c>
      <c r="L9" s="6" t="str">
        <f t="shared" si="5"/>
        <v>-</v>
      </c>
      <c r="M9" s="6" t="str">
        <f t="shared" si="6"/>
        <v>-</v>
      </c>
      <c r="N9" s="26" t="str">
        <f t="shared" si="7"/>
        <v>-</v>
      </c>
      <c r="O9" s="23">
        <f t="shared" si="9"/>
        <v>1</v>
      </c>
      <c r="P9" s="23">
        <v>100</v>
      </c>
      <c r="Q9" s="23">
        <v>65</v>
      </c>
      <c r="R9" s="23">
        <v>15</v>
      </c>
      <c r="S9" s="23"/>
    </row>
    <row r="10" spans="1:31" ht="24" customHeight="1" x14ac:dyDescent="0.2">
      <c r="A10" s="13"/>
      <c r="B10" s="7" t="s">
        <v>13</v>
      </c>
      <c r="C10" s="41">
        <f t="shared" si="0"/>
        <v>130</v>
      </c>
      <c r="D10" s="41">
        <f t="shared" si="1"/>
        <v>60</v>
      </c>
      <c r="E10" s="41">
        <f t="shared" si="1"/>
        <v>3</v>
      </c>
      <c r="F10" s="43">
        <v>8</v>
      </c>
      <c r="G10" s="34" t="s">
        <v>84</v>
      </c>
      <c r="H10" s="18">
        <f t="shared" si="2"/>
        <v>0</v>
      </c>
      <c r="I10" s="6">
        <f t="shared" si="3"/>
        <v>1</v>
      </c>
      <c r="J10" s="19">
        <f t="shared" si="4"/>
        <v>0</v>
      </c>
      <c r="K10" s="29">
        <f t="shared" si="8"/>
        <v>33</v>
      </c>
      <c r="L10" s="6" t="str">
        <f t="shared" si="5"/>
        <v>-</v>
      </c>
      <c r="M10" s="6" t="str">
        <f t="shared" si="6"/>
        <v>-</v>
      </c>
      <c r="N10" s="26" t="str">
        <f t="shared" si="7"/>
        <v>-</v>
      </c>
      <c r="O10" s="23">
        <f t="shared" si="9"/>
        <v>1</v>
      </c>
      <c r="P10" s="23">
        <v>130</v>
      </c>
      <c r="Q10" s="23">
        <v>60</v>
      </c>
      <c r="R10" s="23">
        <v>3</v>
      </c>
      <c r="S10" s="23"/>
    </row>
    <row r="11" spans="1:31" ht="24" customHeight="1" x14ac:dyDescent="0.2">
      <c r="A11" s="14"/>
      <c r="B11" s="8" t="s">
        <v>14</v>
      </c>
      <c r="C11" s="41">
        <f t="shared" si="0"/>
        <v>60</v>
      </c>
      <c r="D11" s="41">
        <f t="shared" si="1"/>
        <v>100</v>
      </c>
      <c r="E11" s="41">
        <f t="shared" si="1"/>
        <v>8</v>
      </c>
      <c r="F11" s="43">
        <v>12</v>
      </c>
      <c r="G11" s="34" t="s">
        <v>46</v>
      </c>
      <c r="H11" s="18">
        <f t="shared" si="2"/>
        <v>0</v>
      </c>
      <c r="I11" s="6">
        <f t="shared" si="3"/>
        <v>0</v>
      </c>
      <c r="J11" s="19">
        <f t="shared" si="4"/>
        <v>0</v>
      </c>
      <c r="K11" s="29" t="str">
        <f t="shared" si="8"/>
        <v>-</v>
      </c>
      <c r="L11" s="6" t="str">
        <f t="shared" si="5"/>
        <v>-</v>
      </c>
      <c r="M11" s="6" t="str">
        <f t="shared" si="6"/>
        <v>-</v>
      </c>
      <c r="N11" s="26" t="str">
        <f t="shared" si="7"/>
        <v>-</v>
      </c>
      <c r="O11" s="23">
        <f t="shared" si="9"/>
        <v>1</v>
      </c>
      <c r="P11" s="23">
        <v>60</v>
      </c>
      <c r="Q11" s="23">
        <v>100</v>
      </c>
      <c r="R11" s="23">
        <v>8</v>
      </c>
      <c r="S11" s="23"/>
    </row>
    <row r="12" spans="1:31" ht="24" customHeight="1" x14ac:dyDescent="0.2">
      <c r="A12" s="14"/>
      <c r="B12" s="8" t="s">
        <v>15</v>
      </c>
      <c r="C12" s="41">
        <f t="shared" si="0"/>
        <v>100</v>
      </c>
      <c r="D12" s="41">
        <f t="shared" si="1"/>
        <v>95</v>
      </c>
      <c r="E12" s="41">
        <f t="shared" si="1"/>
        <v>30</v>
      </c>
      <c r="F12" s="43">
        <v>18</v>
      </c>
      <c r="G12" s="34" t="s">
        <v>47</v>
      </c>
      <c r="H12" s="18">
        <f t="shared" si="2"/>
        <v>0</v>
      </c>
      <c r="I12" s="6">
        <f t="shared" si="3"/>
        <v>1</v>
      </c>
      <c r="J12" s="19">
        <f t="shared" si="4"/>
        <v>0</v>
      </c>
      <c r="K12" s="29">
        <f t="shared" si="8"/>
        <v>30</v>
      </c>
      <c r="L12" s="6" t="str">
        <f t="shared" si="5"/>
        <v>-</v>
      </c>
      <c r="M12" s="6" t="str">
        <f t="shared" si="6"/>
        <v>-</v>
      </c>
      <c r="N12" s="26" t="str">
        <f t="shared" si="7"/>
        <v>-</v>
      </c>
      <c r="O12" s="23">
        <f t="shared" si="9"/>
        <v>1</v>
      </c>
      <c r="P12" s="23">
        <v>100</v>
      </c>
      <c r="Q12" s="23">
        <v>95</v>
      </c>
      <c r="R12" s="23">
        <v>30</v>
      </c>
      <c r="S12" s="23"/>
    </row>
    <row r="13" spans="1:31" ht="24" customHeight="1" x14ac:dyDescent="0.2">
      <c r="A13" s="14"/>
      <c r="B13" s="8" t="s">
        <v>76</v>
      </c>
      <c r="C13" s="41">
        <f t="shared" si="0"/>
        <v>260</v>
      </c>
      <c r="D13" s="41">
        <f t="shared" si="1"/>
        <v>85</v>
      </c>
      <c r="E13" s="41">
        <f t="shared" si="1"/>
        <v>5</v>
      </c>
      <c r="F13" s="43">
        <v>22</v>
      </c>
      <c r="G13" s="34" t="s">
        <v>48</v>
      </c>
      <c r="H13" s="18">
        <f t="shared" si="2"/>
        <v>0</v>
      </c>
      <c r="I13" s="6">
        <f t="shared" si="3"/>
        <v>1</v>
      </c>
      <c r="J13" s="19">
        <f t="shared" si="4"/>
        <v>0</v>
      </c>
      <c r="K13" s="29">
        <f t="shared" si="8"/>
        <v>33</v>
      </c>
      <c r="L13" s="6" t="str">
        <f t="shared" si="5"/>
        <v>-</v>
      </c>
      <c r="M13" s="6" t="str">
        <f t="shared" si="6"/>
        <v>-</v>
      </c>
      <c r="N13" s="26" t="str">
        <f t="shared" si="7"/>
        <v>-</v>
      </c>
      <c r="O13" s="23">
        <f t="shared" si="9"/>
        <v>2</v>
      </c>
      <c r="P13" s="23">
        <v>260</v>
      </c>
      <c r="Q13" s="23">
        <v>85</v>
      </c>
      <c r="R13" s="23">
        <v>5</v>
      </c>
      <c r="S13" s="23"/>
    </row>
    <row r="14" spans="1:31" ht="24" customHeight="1" x14ac:dyDescent="0.2">
      <c r="A14" s="14"/>
      <c r="B14" s="8" t="s">
        <v>77</v>
      </c>
      <c r="C14" s="41">
        <f t="shared" si="0"/>
        <v>320</v>
      </c>
      <c r="D14" s="41">
        <f t="shared" si="1"/>
        <v>120</v>
      </c>
      <c r="E14" s="41">
        <f t="shared" si="1"/>
        <v>15</v>
      </c>
      <c r="F14" s="43">
        <v>30</v>
      </c>
      <c r="G14" s="34" t="s">
        <v>49</v>
      </c>
      <c r="H14" s="18">
        <f t="shared" si="2"/>
        <v>20</v>
      </c>
      <c r="I14" s="6">
        <f t="shared" si="3"/>
        <v>1</v>
      </c>
      <c r="J14" s="19">
        <f t="shared" si="4"/>
        <v>20</v>
      </c>
      <c r="K14" s="29">
        <f t="shared" si="8"/>
        <v>68</v>
      </c>
      <c r="L14" s="6" t="str">
        <f t="shared" si="5"/>
        <v>-</v>
      </c>
      <c r="M14" s="6" t="str">
        <f t="shared" si="6"/>
        <v>-</v>
      </c>
      <c r="N14" s="26" t="str">
        <f t="shared" si="7"/>
        <v>-</v>
      </c>
      <c r="O14" s="23">
        <f t="shared" si="9"/>
        <v>2</v>
      </c>
      <c r="P14" s="23">
        <v>320</v>
      </c>
      <c r="Q14" s="23">
        <v>120</v>
      </c>
      <c r="R14" s="23">
        <v>15</v>
      </c>
      <c r="S14" s="23"/>
    </row>
    <row r="15" spans="1:31" ht="24" customHeight="1" x14ac:dyDescent="0.2">
      <c r="A15" s="14"/>
      <c r="B15" s="8" t="s">
        <v>16</v>
      </c>
      <c r="C15" s="41">
        <f t="shared" si="0"/>
        <v>20</v>
      </c>
      <c r="D15" s="41">
        <f t="shared" si="1"/>
        <v>100</v>
      </c>
      <c r="E15" s="41">
        <f t="shared" si="1"/>
        <v>68</v>
      </c>
      <c r="F15" s="43">
        <v>28</v>
      </c>
      <c r="G15" s="34" t="s">
        <v>50</v>
      </c>
      <c r="H15" s="18">
        <f t="shared" si="2"/>
        <v>0</v>
      </c>
      <c r="I15" s="6">
        <f t="shared" si="3"/>
        <v>0</v>
      </c>
      <c r="J15" s="19">
        <f t="shared" si="4"/>
        <v>0</v>
      </c>
      <c r="K15" s="29" t="str">
        <f t="shared" si="8"/>
        <v>-</v>
      </c>
      <c r="L15" s="6" t="str">
        <f t="shared" si="5"/>
        <v>-</v>
      </c>
      <c r="M15" s="6" t="str">
        <f t="shared" si="6"/>
        <v>-</v>
      </c>
      <c r="N15" s="26" t="str">
        <f t="shared" si="7"/>
        <v>-</v>
      </c>
      <c r="O15" s="23">
        <f t="shared" si="9"/>
        <v>1</v>
      </c>
      <c r="P15" s="23">
        <v>20</v>
      </c>
      <c r="Q15" s="23">
        <v>100</v>
      </c>
      <c r="R15" s="23">
        <v>68</v>
      </c>
      <c r="S15" s="23"/>
    </row>
    <row r="16" spans="1:31" ht="24" customHeight="1" x14ac:dyDescent="0.2">
      <c r="A16" s="14"/>
      <c r="B16" s="9" t="s">
        <v>17</v>
      </c>
      <c r="C16" s="41">
        <f t="shared" si="0"/>
        <v>1200</v>
      </c>
      <c r="D16" s="41">
        <f t="shared" si="1"/>
        <v>180</v>
      </c>
      <c r="E16" s="41">
        <f t="shared" si="1"/>
        <v>20</v>
      </c>
      <c r="F16" s="43">
        <v>100</v>
      </c>
      <c r="G16" s="34" t="s">
        <v>51</v>
      </c>
      <c r="H16" s="18">
        <f t="shared" si="2"/>
        <v>80</v>
      </c>
      <c r="I16" s="6">
        <f t="shared" si="3"/>
        <v>14</v>
      </c>
      <c r="J16" s="19">
        <f t="shared" si="4"/>
        <v>1120</v>
      </c>
      <c r="K16" s="29">
        <f t="shared" si="8"/>
        <v>6</v>
      </c>
      <c r="L16" s="6">
        <f t="shared" si="5"/>
        <v>13</v>
      </c>
      <c r="M16" s="6">
        <f t="shared" si="6"/>
        <v>20</v>
      </c>
      <c r="N16" s="26">
        <f t="shared" si="7"/>
        <v>30</v>
      </c>
      <c r="O16" s="23">
        <f t="shared" si="9"/>
        <v>1</v>
      </c>
      <c r="P16" s="23">
        <v>1200</v>
      </c>
      <c r="Q16" s="23">
        <v>180</v>
      </c>
      <c r="R16" s="23">
        <v>20</v>
      </c>
      <c r="S16" s="23"/>
    </row>
    <row r="17" spans="1:19" ht="24" customHeight="1" x14ac:dyDescent="0.2">
      <c r="A17" s="14"/>
      <c r="B17" s="8" t="s">
        <v>78</v>
      </c>
      <c r="C17" s="41">
        <f t="shared" si="0"/>
        <v>444</v>
      </c>
      <c r="D17" s="41">
        <f t="shared" si="1"/>
        <v>199</v>
      </c>
      <c r="E17" s="41">
        <f t="shared" si="1"/>
        <v>66</v>
      </c>
      <c r="F17" s="43">
        <v>144</v>
      </c>
      <c r="G17" s="34" t="s">
        <v>52</v>
      </c>
      <c r="H17" s="18">
        <f t="shared" si="2"/>
        <v>99</v>
      </c>
      <c r="I17" s="6">
        <f t="shared" si="3"/>
        <v>3</v>
      </c>
      <c r="J17" s="19">
        <f t="shared" si="4"/>
        <v>297</v>
      </c>
      <c r="K17" s="29">
        <f t="shared" si="8"/>
        <v>7</v>
      </c>
      <c r="L17" s="6">
        <f t="shared" si="5"/>
        <v>44</v>
      </c>
      <c r="M17" s="6">
        <f t="shared" si="6"/>
        <v>155</v>
      </c>
      <c r="N17" s="26" t="str">
        <f t="shared" si="7"/>
        <v>-</v>
      </c>
      <c r="O17" s="23">
        <f t="shared" si="9"/>
        <v>2</v>
      </c>
      <c r="P17" s="23">
        <v>444</v>
      </c>
      <c r="Q17" s="23">
        <v>199</v>
      </c>
      <c r="R17" s="23">
        <v>66</v>
      </c>
      <c r="S17" s="23"/>
    </row>
    <row r="18" spans="1:19" ht="24" customHeight="1" x14ac:dyDescent="0.2">
      <c r="A18" s="14"/>
      <c r="B18" s="9" t="s">
        <v>18</v>
      </c>
      <c r="C18" s="41">
        <f t="shared" si="0"/>
        <v>4500</v>
      </c>
      <c r="D18" s="41">
        <f t="shared" ref="D18:D34" si="10">Q18*($A$1*43-42)</f>
        <v>560</v>
      </c>
      <c r="E18" s="41">
        <f t="shared" ref="E18:E34" si="11">R18*($A$1*43-42)</f>
        <v>310</v>
      </c>
      <c r="F18" s="43">
        <v>1000</v>
      </c>
      <c r="G18" s="34" t="s">
        <v>53</v>
      </c>
      <c r="H18" s="18">
        <f t="shared" si="2"/>
        <v>460</v>
      </c>
      <c r="I18" s="6" t="str">
        <f t="shared" si="3"/>
        <v>NaN</v>
      </c>
      <c r="J18" s="19" t="str">
        <f t="shared" si="4"/>
        <v>NaN</v>
      </c>
      <c r="K18" s="29">
        <f t="shared" si="8"/>
        <v>211</v>
      </c>
      <c r="L18" s="6">
        <f t="shared" si="5"/>
        <v>212</v>
      </c>
      <c r="M18" s="6">
        <f t="shared" si="6"/>
        <v>213</v>
      </c>
      <c r="N18" s="26">
        <f t="shared" si="7"/>
        <v>214</v>
      </c>
      <c r="O18" s="23">
        <f t="shared" si="9"/>
        <v>1</v>
      </c>
      <c r="P18" s="23">
        <v>4500</v>
      </c>
      <c r="Q18" s="23">
        <v>560</v>
      </c>
      <c r="R18" s="23">
        <v>310</v>
      </c>
      <c r="S18" s="23"/>
    </row>
    <row r="19" spans="1:19" ht="24" customHeight="1" x14ac:dyDescent="0.2">
      <c r="A19" s="14"/>
      <c r="B19" s="8" t="s">
        <v>19</v>
      </c>
      <c r="C19" s="41">
        <f t="shared" si="0"/>
        <v>220</v>
      </c>
      <c r="D19" s="41">
        <f t="shared" si="10"/>
        <v>180</v>
      </c>
      <c r="E19" s="41">
        <f t="shared" si="11"/>
        <v>30</v>
      </c>
      <c r="F19" s="43">
        <v>35</v>
      </c>
      <c r="G19" s="34" t="s">
        <v>54</v>
      </c>
      <c r="H19" s="18">
        <f t="shared" si="2"/>
        <v>80</v>
      </c>
      <c r="I19" s="6">
        <f t="shared" si="3"/>
        <v>3</v>
      </c>
      <c r="J19" s="19">
        <f t="shared" si="4"/>
        <v>240</v>
      </c>
      <c r="K19" s="29">
        <f t="shared" si="8"/>
        <v>4</v>
      </c>
      <c r="L19" s="6">
        <f t="shared" si="5"/>
        <v>40</v>
      </c>
      <c r="M19" s="6">
        <f t="shared" si="6"/>
        <v>150</v>
      </c>
      <c r="N19" s="26" t="str">
        <f t="shared" si="7"/>
        <v>-</v>
      </c>
      <c r="O19" s="23">
        <f t="shared" si="9"/>
        <v>1</v>
      </c>
      <c r="P19" s="23">
        <v>220</v>
      </c>
      <c r="Q19" s="23">
        <v>180</v>
      </c>
      <c r="R19" s="23">
        <v>30</v>
      </c>
      <c r="S19" s="23"/>
    </row>
    <row r="20" spans="1:19" ht="24" customHeight="1" x14ac:dyDescent="0.2">
      <c r="A20" s="14"/>
      <c r="B20" s="8" t="s">
        <v>20</v>
      </c>
      <c r="C20" s="41">
        <f t="shared" si="0"/>
        <v>210</v>
      </c>
      <c r="D20" s="41">
        <f t="shared" si="10"/>
        <v>200</v>
      </c>
      <c r="E20" s="41">
        <f t="shared" si="11"/>
        <v>65</v>
      </c>
      <c r="F20" s="43">
        <v>45</v>
      </c>
      <c r="G20" s="34" t="s">
        <v>55</v>
      </c>
      <c r="H20" s="18">
        <f t="shared" si="2"/>
        <v>100</v>
      </c>
      <c r="I20" s="6">
        <f t="shared" si="3"/>
        <v>5</v>
      </c>
      <c r="J20" s="19">
        <f t="shared" si="4"/>
        <v>500</v>
      </c>
      <c r="K20" s="29">
        <f t="shared" si="8"/>
        <v>7</v>
      </c>
      <c r="L20" s="6">
        <f t="shared" si="5"/>
        <v>18</v>
      </c>
      <c r="M20" s="6">
        <f t="shared" si="6"/>
        <v>35</v>
      </c>
      <c r="N20" s="26">
        <f t="shared" si="7"/>
        <v>70</v>
      </c>
      <c r="O20" s="23">
        <f t="shared" si="9"/>
        <v>1</v>
      </c>
      <c r="P20" s="23">
        <v>210</v>
      </c>
      <c r="Q20" s="23">
        <v>200</v>
      </c>
      <c r="R20" s="23">
        <v>65</v>
      </c>
      <c r="S20" s="23"/>
    </row>
    <row r="21" spans="1:19" ht="24" customHeight="1" x14ac:dyDescent="0.2">
      <c r="A21" s="14"/>
      <c r="B21" s="8" t="s">
        <v>21</v>
      </c>
      <c r="C21" s="41">
        <f t="shared" si="0"/>
        <v>320</v>
      </c>
      <c r="D21" s="41">
        <f t="shared" si="10"/>
        <v>140</v>
      </c>
      <c r="E21" s="41">
        <f t="shared" si="11"/>
        <v>20</v>
      </c>
      <c r="F21" s="43">
        <v>30</v>
      </c>
      <c r="G21" s="34" t="s">
        <v>56</v>
      </c>
      <c r="H21" s="18">
        <f t="shared" si="2"/>
        <v>40</v>
      </c>
      <c r="I21" s="6">
        <f t="shared" si="3"/>
        <v>3</v>
      </c>
      <c r="J21" s="19">
        <f t="shared" si="4"/>
        <v>120</v>
      </c>
      <c r="K21" s="29">
        <f t="shared" si="8"/>
        <v>27</v>
      </c>
      <c r="L21" s="6">
        <f t="shared" si="5"/>
        <v>80</v>
      </c>
      <c r="M21" s="6">
        <f t="shared" si="6"/>
        <v>240</v>
      </c>
      <c r="N21" s="26" t="str">
        <f t="shared" si="7"/>
        <v>-</v>
      </c>
      <c r="O21" s="23">
        <f t="shared" si="9"/>
        <v>1</v>
      </c>
      <c r="P21" s="23">
        <v>320</v>
      </c>
      <c r="Q21" s="23">
        <v>140</v>
      </c>
      <c r="R21" s="23">
        <v>20</v>
      </c>
      <c r="S21" s="23"/>
    </row>
    <row r="22" spans="1:19" ht="24" customHeight="1" x14ac:dyDescent="0.2">
      <c r="A22" s="14"/>
      <c r="B22" s="8" t="s">
        <v>22</v>
      </c>
      <c r="C22" s="41">
        <f t="shared" si="0"/>
        <v>100</v>
      </c>
      <c r="D22" s="41">
        <f t="shared" si="10"/>
        <v>180</v>
      </c>
      <c r="E22" s="41">
        <f t="shared" si="11"/>
        <v>110</v>
      </c>
      <c r="F22" s="43">
        <v>50</v>
      </c>
      <c r="G22" s="34" t="s">
        <v>57</v>
      </c>
      <c r="H22" s="18">
        <f t="shared" si="2"/>
        <v>80</v>
      </c>
      <c r="I22" s="6" t="str">
        <f t="shared" si="3"/>
        <v>NaN</v>
      </c>
      <c r="J22" s="19" t="str">
        <f t="shared" si="4"/>
        <v>NaN</v>
      </c>
      <c r="K22" s="29">
        <f t="shared" si="8"/>
        <v>11</v>
      </c>
      <c r="L22" s="6">
        <f t="shared" si="5"/>
        <v>12</v>
      </c>
      <c r="M22" s="6">
        <f t="shared" si="6"/>
        <v>13</v>
      </c>
      <c r="N22" s="26">
        <f t="shared" si="7"/>
        <v>14</v>
      </c>
      <c r="O22" s="23">
        <f t="shared" si="9"/>
        <v>1</v>
      </c>
      <c r="P22" s="23">
        <v>100</v>
      </c>
      <c r="Q22" s="23">
        <v>180</v>
      </c>
      <c r="R22" s="23">
        <v>110</v>
      </c>
      <c r="S22" s="23"/>
    </row>
    <row r="23" spans="1:19" ht="24" customHeight="1" x14ac:dyDescent="0.2">
      <c r="A23" s="14"/>
      <c r="B23" s="8" t="s">
        <v>23</v>
      </c>
      <c r="C23" s="41">
        <f t="shared" si="0"/>
        <v>100</v>
      </c>
      <c r="D23" s="41">
        <f t="shared" si="10"/>
        <v>680</v>
      </c>
      <c r="E23" s="41">
        <f t="shared" si="11"/>
        <v>50</v>
      </c>
      <c r="F23" s="43">
        <v>55</v>
      </c>
      <c r="G23" s="34" t="s">
        <v>83</v>
      </c>
      <c r="H23" s="18">
        <f t="shared" si="2"/>
        <v>580</v>
      </c>
      <c r="I23" s="6">
        <f t="shared" si="3"/>
        <v>1</v>
      </c>
      <c r="J23" s="19">
        <f t="shared" si="4"/>
        <v>580</v>
      </c>
      <c r="K23" s="29">
        <f t="shared" si="8"/>
        <v>50</v>
      </c>
      <c r="L23" s="6" t="str">
        <f t="shared" si="5"/>
        <v>-</v>
      </c>
      <c r="M23" s="6" t="str">
        <f t="shared" si="6"/>
        <v>-</v>
      </c>
      <c r="N23" s="26" t="str">
        <f t="shared" si="7"/>
        <v>-</v>
      </c>
      <c r="O23" s="23">
        <f t="shared" si="9"/>
        <v>1</v>
      </c>
      <c r="P23" s="23">
        <v>100</v>
      </c>
      <c r="Q23" s="23">
        <v>680</v>
      </c>
      <c r="R23" s="23">
        <v>50</v>
      </c>
      <c r="S23" s="23"/>
    </row>
    <row r="24" spans="1:19" ht="24" customHeight="1" x14ac:dyDescent="0.2">
      <c r="A24" s="14"/>
      <c r="B24" s="9" t="s">
        <v>79</v>
      </c>
      <c r="C24" s="41">
        <f t="shared" si="0"/>
        <v>1500</v>
      </c>
      <c r="D24" s="41">
        <f t="shared" si="10"/>
        <v>600</v>
      </c>
      <c r="E24" s="41">
        <f t="shared" si="11"/>
        <v>250</v>
      </c>
      <c r="F24" s="43">
        <v>800</v>
      </c>
      <c r="G24" s="34" t="s">
        <v>58</v>
      </c>
      <c r="H24" s="18">
        <f t="shared" si="2"/>
        <v>500</v>
      </c>
      <c r="I24" s="6" t="str">
        <f t="shared" si="3"/>
        <v>NaN</v>
      </c>
      <c r="J24" s="19" t="str">
        <f t="shared" si="4"/>
        <v>NaN</v>
      </c>
      <c r="K24" s="29">
        <f t="shared" si="8"/>
        <v>26</v>
      </c>
      <c r="L24" s="6">
        <f t="shared" si="5"/>
        <v>26</v>
      </c>
      <c r="M24" s="6">
        <f t="shared" si="6"/>
        <v>27</v>
      </c>
      <c r="N24" s="26">
        <f t="shared" si="7"/>
        <v>27</v>
      </c>
      <c r="O24" s="23">
        <f t="shared" si="9"/>
        <v>2</v>
      </c>
      <c r="P24" s="23">
        <v>1500</v>
      </c>
      <c r="Q24" s="23">
        <v>600</v>
      </c>
      <c r="R24" s="23">
        <v>250</v>
      </c>
      <c r="S24" s="23"/>
    </row>
    <row r="25" spans="1:19" ht="24" customHeight="1" x14ac:dyDescent="0.2">
      <c r="A25" s="14"/>
      <c r="B25" s="8" t="s">
        <v>24</v>
      </c>
      <c r="C25" s="41">
        <f t="shared" si="0"/>
        <v>160</v>
      </c>
      <c r="D25" s="41">
        <f t="shared" si="10"/>
        <v>230</v>
      </c>
      <c r="E25" s="41">
        <f t="shared" si="11"/>
        <v>105</v>
      </c>
      <c r="F25" s="43">
        <v>65</v>
      </c>
      <c r="G25" s="34" t="s">
        <v>59</v>
      </c>
      <c r="H25" s="18">
        <f t="shared" si="2"/>
        <v>130</v>
      </c>
      <c r="I25" s="6" t="str">
        <f t="shared" si="3"/>
        <v>NaN</v>
      </c>
      <c r="J25" s="19" t="str">
        <f t="shared" si="4"/>
        <v>NaN</v>
      </c>
      <c r="K25" s="29">
        <f t="shared" si="8"/>
        <v>6</v>
      </c>
      <c r="L25" s="6">
        <f t="shared" si="5"/>
        <v>7</v>
      </c>
      <c r="M25" s="6">
        <f t="shared" si="6"/>
        <v>8</v>
      </c>
      <c r="N25" s="26">
        <f t="shared" si="7"/>
        <v>9</v>
      </c>
      <c r="O25" s="23">
        <f t="shared" si="9"/>
        <v>1</v>
      </c>
      <c r="P25" s="23">
        <v>160</v>
      </c>
      <c r="Q25" s="23">
        <v>230</v>
      </c>
      <c r="R25" s="23">
        <v>105</v>
      </c>
      <c r="S25" s="23"/>
    </row>
    <row r="26" spans="1:19" ht="24" customHeight="1" x14ac:dyDescent="0.2">
      <c r="A26" s="14"/>
      <c r="B26" s="8" t="s">
        <v>25</v>
      </c>
      <c r="C26" s="41">
        <f t="shared" si="0"/>
        <v>120</v>
      </c>
      <c r="D26" s="41">
        <f t="shared" si="10"/>
        <v>150</v>
      </c>
      <c r="E26" s="41">
        <f t="shared" si="11"/>
        <v>50</v>
      </c>
      <c r="F26" s="43">
        <v>100</v>
      </c>
      <c r="G26" s="34" t="s">
        <v>60</v>
      </c>
      <c r="H26" s="18">
        <f t="shared" si="2"/>
        <v>50</v>
      </c>
      <c r="I26" s="6">
        <f t="shared" si="3"/>
        <v>2</v>
      </c>
      <c r="J26" s="19">
        <f t="shared" si="4"/>
        <v>100</v>
      </c>
      <c r="K26" s="29">
        <f t="shared" si="8"/>
        <v>10</v>
      </c>
      <c r="L26" s="6">
        <f t="shared" si="5"/>
        <v>70</v>
      </c>
      <c r="M26" s="6" t="str">
        <f t="shared" si="6"/>
        <v>-</v>
      </c>
      <c r="N26" s="26" t="str">
        <f t="shared" si="7"/>
        <v>-</v>
      </c>
      <c r="O26" s="23">
        <f t="shared" si="9"/>
        <v>1</v>
      </c>
      <c r="P26" s="23">
        <v>120</v>
      </c>
      <c r="Q26" s="23">
        <v>150</v>
      </c>
      <c r="R26" s="23">
        <v>50</v>
      </c>
      <c r="S26" s="23"/>
    </row>
    <row r="27" spans="1:19" ht="24" customHeight="1" x14ac:dyDescent="0.2">
      <c r="A27" s="14"/>
      <c r="B27" s="8" t="s">
        <v>27</v>
      </c>
      <c r="C27" s="41">
        <f t="shared" si="0"/>
        <v>220</v>
      </c>
      <c r="D27" s="41">
        <f t="shared" si="10"/>
        <v>370</v>
      </c>
      <c r="E27" s="41">
        <f t="shared" si="11"/>
        <v>110</v>
      </c>
      <c r="F27" s="43">
        <v>80</v>
      </c>
      <c r="G27" s="34" t="s">
        <v>61</v>
      </c>
      <c r="H27" s="18">
        <f t="shared" si="2"/>
        <v>270</v>
      </c>
      <c r="I27" s="6" t="str">
        <f t="shared" si="3"/>
        <v>NaN</v>
      </c>
      <c r="J27" s="19" t="str">
        <f t="shared" si="4"/>
        <v>NaN</v>
      </c>
      <c r="K27" s="29">
        <f t="shared" si="8"/>
        <v>11</v>
      </c>
      <c r="L27" s="6">
        <f t="shared" si="5"/>
        <v>12</v>
      </c>
      <c r="M27" s="6">
        <f t="shared" si="6"/>
        <v>13</v>
      </c>
      <c r="N27" s="26">
        <f t="shared" si="7"/>
        <v>14</v>
      </c>
      <c r="O27" s="23">
        <f t="shared" si="9"/>
        <v>1</v>
      </c>
      <c r="P27" s="23">
        <v>220</v>
      </c>
      <c r="Q27" s="23">
        <v>370</v>
      </c>
      <c r="R27" s="23">
        <v>110</v>
      </c>
      <c r="S27" s="23"/>
    </row>
    <row r="28" spans="1:19" ht="24" customHeight="1" x14ac:dyDescent="0.2">
      <c r="A28" s="14"/>
      <c r="B28" s="8" t="s">
        <v>26</v>
      </c>
      <c r="C28" s="41">
        <f t="shared" si="0"/>
        <v>200</v>
      </c>
      <c r="D28" s="41">
        <f t="shared" si="10"/>
        <v>380</v>
      </c>
      <c r="E28" s="41">
        <f t="shared" si="11"/>
        <v>130</v>
      </c>
      <c r="F28" s="43">
        <v>90</v>
      </c>
      <c r="G28" s="34" t="s">
        <v>62</v>
      </c>
      <c r="H28" s="18">
        <f t="shared" si="2"/>
        <v>280</v>
      </c>
      <c r="I28" s="6" t="str">
        <f t="shared" si="3"/>
        <v>NaN</v>
      </c>
      <c r="J28" s="19" t="str">
        <f t="shared" si="4"/>
        <v>NaN</v>
      </c>
      <c r="K28" s="29">
        <f t="shared" si="8"/>
        <v>31</v>
      </c>
      <c r="L28" s="6">
        <f t="shared" si="5"/>
        <v>32</v>
      </c>
      <c r="M28" s="6">
        <f t="shared" si="6"/>
        <v>33</v>
      </c>
      <c r="N28" s="26">
        <f t="shared" si="7"/>
        <v>34</v>
      </c>
      <c r="O28" s="23">
        <f t="shared" si="9"/>
        <v>1</v>
      </c>
      <c r="P28" s="23">
        <v>200</v>
      </c>
      <c r="Q28" s="23">
        <v>380</v>
      </c>
      <c r="R28" s="23">
        <v>130</v>
      </c>
      <c r="S28" s="23"/>
    </row>
    <row r="29" spans="1:19" ht="24" customHeight="1" x14ac:dyDescent="0.2">
      <c r="A29" s="13"/>
      <c r="B29" s="7" t="s">
        <v>28</v>
      </c>
      <c r="C29" s="41">
        <f t="shared" si="0"/>
        <v>360</v>
      </c>
      <c r="D29" s="41">
        <f t="shared" si="10"/>
        <v>310</v>
      </c>
      <c r="E29" s="41">
        <f t="shared" si="11"/>
        <v>20</v>
      </c>
      <c r="F29" s="43">
        <v>40</v>
      </c>
      <c r="G29" s="34" t="s">
        <v>61</v>
      </c>
      <c r="H29" s="18">
        <f t="shared" si="2"/>
        <v>210</v>
      </c>
      <c r="I29" s="6">
        <f t="shared" si="3"/>
        <v>4</v>
      </c>
      <c r="J29" s="19">
        <f t="shared" si="4"/>
        <v>840</v>
      </c>
      <c r="K29" s="29">
        <f t="shared" si="8"/>
        <v>10</v>
      </c>
      <c r="L29" s="6">
        <f t="shared" si="5"/>
        <v>40</v>
      </c>
      <c r="M29" s="6">
        <f t="shared" si="6"/>
        <v>100</v>
      </c>
      <c r="N29" s="26">
        <f t="shared" si="7"/>
        <v>280</v>
      </c>
      <c r="O29" s="23">
        <f t="shared" si="9"/>
        <v>1</v>
      </c>
      <c r="P29" s="23">
        <v>360</v>
      </c>
      <c r="Q29" s="23">
        <v>310</v>
      </c>
      <c r="R29" s="23">
        <v>20</v>
      </c>
      <c r="S29" s="23"/>
    </row>
    <row r="30" spans="1:19" ht="24" customHeight="1" x14ac:dyDescent="0.2">
      <c r="A30" s="13"/>
      <c r="B30" s="7" t="s">
        <v>29</v>
      </c>
      <c r="C30" s="41">
        <f t="shared" si="0"/>
        <v>200</v>
      </c>
      <c r="D30" s="41">
        <f t="shared" si="10"/>
        <v>390</v>
      </c>
      <c r="E30" s="41">
        <f t="shared" si="11"/>
        <v>90</v>
      </c>
      <c r="F30" s="43">
        <v>50</v>
      </c>
      <c r="G30" s="34" t="s">
        <v>61</v>
      </c>
      <c r="H30" s="18">
        <f t="shared" si="2"/>
        <v>290</v>
      </c>
      <c r="I30" s="6">
        <f t="shared" si="3"/>
        <v>19</v>
      </c>
      <c r="J30" s="19">
        <f t="shared" si="4"/>
        <v>5510</v>
      </c>
      <c r="K30" s="29">
        <f t="shared" si="8"/>
        <v>1</v>
      </c>
      <c r="L30" s="6">
        <f t="shared" si="5"/>
        <v>2</v>
      </c>
      <c r="M30" s="6">
        <f t="shared" si="6"/>
        <v>2</v>
      </c>
      <c r="N30" s="26">
        <f t="shared" si="7"/>
        <v>3</v>
      </c>
      <c r="O30" s="23">
        <f t="shared" si="9"/>
        <v>1</v>
      </c>
      <c r="P30" s="23">
        <v>200</v>
      </c>
      <c r="Q30" s="23">
        <v>390</v>
      </c>
      <c r="R30" s="23">
        <v>90</v>
      </c>
      <c r="S30" s="23"/>
    </row>
    <row r="31" spans="1:19" ht="24" customHeight="1" x14ac:dyDescent="0.2">
      <c r="A31" s="14"/>
      <c r="B31" s="8" t="s">
        <v>30</v>
      </c>
      <c r="C31" s="41">
        <f t="shared" si="0"/>
        <v>180</v>
      </c>
      <c r="D31" s="41">
        <f t="shared" si="10"/>
        <v>430</v>
      </c>
      <c r="E31" s="41">
        <f t="shared" si="11"/>
        <v>210</v>
      </c>
      <c r="F31" s="43">
        <v>120</v>
      </c>
      <c r="G31" s="34" t="s">
        <v>63</v>
      </c>
      <c r="H31" s="18">
        <f t="shared" si="2"/>
        <v>330</v>
      </c>
      <c r="I31" s="6" t="str">
        <f t="shared" si="3"/>
        <v>NaN</v>
      </c>
      <c r="J31" s="19" t="str">
        <f t="shared" si="4"/>
        <v>NaN</v>
      </c>
      <c r="K31" s="29">
        <f t="shared" si="8"/>
        <v>111</v>
      </c>
      <c r="L31" s="6">
        <f t="shared" si="5"/>
        <v>112</v>
      </c>
      <c r="M31" s="6">
        <f t="shared" si="6"/>
        <v>113</v>
      </c>
      <c r="N31" s="26">
        <f t="shared" si="7"/>
        <v>114</v>
      </c>
      <c r="O31" s="23">
        <f t="shared" si="9"/>
        <v>1</v>
      </c>
      <c r="P31" s="23">
        <v>180</v>
      </c>
      <c r="Q31" s="23">
        <v>430</v>
      </c>
      <c r="R31" s="23">
        <v>210</v>
      </c>
      <c r="S31" s="23"/>
    </row>
    <row r="32" spans="1:19" ht="24" customHeight="1" x14ac:dyDescent="0.2">
      <c r="A32" s="14"/>
      <c r="B32" s="8" t="s">
        <v>31</v>
      </c>
      <c r="C32" s="41">
        <f t="shared" si="0"/>
        <v>230</v>
      </c>
      <c r="D32" s="41">
        <f t="shared" si="10"/>
        <v>450</v>
      </c>
      <c r="E32" s="41">
        <f t="shared" si="11"/>
        <v>100</v>
      </c>
      <c r="F32" s="43">
        <v>100</v>
      </c>
      <c r="G32" s="34" t="s">
        <v>64</v>
      </c>
      <c r="H32" s="18">
        <f t="shared" si="2"/>
        <v>350</v>
      </c>
      <c r="I32" s="6" t="str">
        <f t="shared" si="3"/>
        <v>NaN</v>
      </c>
      <c r="J32" s="19" t="str">
        <f t="shared" si="4"/>
        <v>NaN</v>
      </c>
      <c r="K32" s="29">
        <f t="shared" si="8"/>
        <v>1</v>
      </c>
      <c r="L32" s="6">
        <f t="shared" si="5"/>
        <v>2</v>
      </c>
      <c r="M32" s="6">
        <f t="shared" si="6"/>
        <v>3</v>
      </c>
      <c r="N32" s="26">
        <f t="shared" si="7"/>
        <v>4</v>
      </c>
      <c r="O32" s="23">
        <f t="shared" si="9"/>
        <v>1</v>
      </c>
      <c r="P32" s="23">
        <v>230</v>
      </c>
      <c r="Q32" s="23">
        <v>450</v>
      </c>
      <c r="R32" s="23">
        <v>100</v>
      </c>
      <c r="S32" s="23"/>
    </row>
    <row r="33" spans="1:19" ht="24" customHeight="1" x14ac:dyDescent="0.2">
      <c r="A33" s="14"/>
      <c r="B33" s="8" t="s">
        <v>32</v>
      </c>
      <c r="C33" s="41">
        <f t="shared" si="0"/>
        <v>180</v>
      </c>
      <c r="D33" s="41">
        <f t="shared" si="10"/>
        <v>460</v>
      </c>
      <c r="E33" s="41">
        <f t="shared" si="11"/>
        <v>360</v>
      </c>
      <c r="F33" s="43">
        <v>200</v>
      </c>
      <c r="G33" s="34" t="s">
        <v>65</v>
      </c>
      <c r="H33" s="18">
        <f t="shared" si="2"/>
        <v>360</v>
      </c>
      <c r="I33" s="6" t="str">
        <f t="shared" si="3"/>
        <v>NaN</v>
      </c>
      <c r="J33" s="19" t="str">
        <f t="shared" si="4"/>
        <v>NaN</v>
      </c>
      <c r="K33" s="29">
        <f t="shared" si="8"/>
        <v>261</v>
      </c>
      <c r="L33" s="6">
        <f t="shared" si="5"/>
        <v>262</v>
      </c>
      <c r="M33" s="6">
        <f t="shared" si="6"/>
        <v>263</v>
      </c>
      <c r="N33" s="26">
        <f t="shared" si="7"/>
        <v>264</v>
      </c>
      <c r="O33" s="23">
        <f t="shared" si="9"/>
        <v>1</v>
      </c>
      <c r="P33" s="23">
        <v>180</v>
      </c>
      <c r="Q33" s="23">
        <v>460</v>
      </c>
      <c r="R33" s="23">
        <v>360</v>
      </c>
      <c r="S33" s="23"/>
    </row>
    <row r="34" spans="1:19" ht="24" customHeight="1" x14ac:dyDescent="0.2">
      <c r="A34" s="14"/>
      <c r="B34" s="9" t="s">
        <v>33</v>
      </c>
      <c r="C34" s="41">
        <f t="shared" si="0"/>
        <v>800</v>
      </c>
      <c r="D34" s="41">
        <f t="shared" si="10"/>
        <v>500</v>
      </c>
      <c r="E34" s="41">
        <f t="shared" si="11"/>
        <v>100</v>
      </c>
      <c r="F34" s="43">
        <v>500</v>
      </c>
      <c r="G34" s="34" t="s">
        <v>66</v>
      </c>
      <c r="H34" s="18">
        <f t="shared" si="2"/>
        <v>400</v>
      </c>
      <c r="I34" s="6" t="str">
        <f t="shared" si="3"/>
        <v>NaN</v>
      </c>
      <c r="J34" s="19" t="str">
        <f t="shared" si="4"/>
        <v>NaN</v>
      </c>
      <c r="K34" s="29">
        <f t="shared" si="8"/>
        <v>1</v>
      </c>
      <c r="L34" s="6">
        <f t="shared" si="5"/>
        <v>2</v>
      </c>
      <c r="M34" s="6">
        <f t="shared" si="6"/>
        <v>3</v>
      </c>
      <c r="N34" s="26">
        <f t="shared" si="7"/>
        <v>4</v>
      </c>
      <c r="O34" s="23">
        <f t="shared" si="9"/>
        <v>1</v>
      </c>
      <c r="P34" s="23">
        <v>800</v>
      </c>
      <c r="Q34" s="23">
        <v>500</v>
      </c>
      <c r="R34" s="23">
        <v>100</v>
      </c>
      <c r="S34" s="23"/>
    </row>
    <row r="35" spans="1:19" ht="24" customHeight="1" thickBot="1" x14ac:dyDescent="0.25">
      <c r="A35" s="15"/>
      <c r="B35" s="16" t="s">
        <v>69</v>
      </c>
      <c r="C35" s="42">
        <v>44000</v>
      </c>
      <c r="D35" s="42">
        <v>27500</v>
      </c>
      <c r="E35" s="42">
        <v>5500</v>
      </c>
      <c r="F35" s="44">
        <v>500</v>
      </c>
      <c r="G35" s="35" t="s">
        <v>67</v>
      </c>
      <c r="H35" s="20">
        <f t="shared" si="2"/>
        <v>27400</v>
      </c>
      <c r="I35" s="27" t="str">
        <f t="shared" si="3"/>
        <v>NaN</v>
      </c>
      <c r="J35" s="21" t="str">
        <f t="shared" si="4"/>
        <v>NaN</v>
      </c>
      <c r="K35" s="30">
        <f t="shared" si="8"/>
        <v>5401</v>
      </c>
      <c r="L35" s="27">
        <f t="shared" si="5"/>
        <v>5402</v>
      </c>
      <c r="M35" s="27">
        <f t="shared" si="6"/>
        <v>5403</v>
      </c>
      <c r="N35" s="28">
        <f t="shared" si="7"/>
        <v>5404</v>
      </c>
      <c r="O35" s="23">
        <f t="shared" si="9"/>
        <v>1</v>
      </c>
      <c r="P35" s="23">
        <v>44000</v>
      </c>
      <c r="Q35" s="23">
        <v>27500</v>
      </c>
      <c r="R35" s="23">
        <v>5500</v>
      </c>
      <c r="S35" s="23"/>
    </row>
    <row r="36" spans="1:19" x14ac:dyDescent="0.2">
      <c r="A36" s="45" t="s">
        <v>81</v>
      </c>
    </row>
    <row r="37" spans="1:19" x14ac:dyDescent="0.2">
      <c r="A37" s="45" t="s">
        <v>82</v>
      </c>
    </row>
    <row r="38" spans="1:19" x14ac:dyDescent="0.2">
      <c r="A38" s="50" t="s">
        <v>85</v>
      </c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</row>
    <row r="39" spans="1:19" x14ac:dyDescent="0.2">
      <c r="A39" s="52">
        <v>1</v>
      </c>
      <c r="B39" s="51" t="s">
        <v>86</v>
      </c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</row>
    <row r="40" spans="1:19" x14ac:dyDescent="0.2">
      <c r="A40" s="52">
        <v>2</v>
      </c>
      <c r="B40" s="49" t="str">
        <f>"After opening TSW, click the ""Link2TSW"" button (in cell O1) to automatically get all the game data and refresh every " &amp;  AE1 &amp; " seconds (defined in cell AE1)"</f>
        <v>After opening TSW, click the "Link2TSW" button (in cell O1) to automatically get all the game data and refresh every 2 seconds (defined in cell AE1)</v>
      </c>
    </row>
    <row r="41" spans="1:19" x14ac:dyDescent="0.2">
      <c r="A41" s="52">
        <v>3</v>
      </c>
      <c r="B41" s="51" t="s">
        <v>87</v>
      </c>
    </row>
    <row r="42" spans="1:19" x14ac:dyDescent="0.2">
      <c r="A42" s="52">
        <v>4</v>
      </c>
      <c r="B42" s="51" t="s">
        <v>88</v>
      </c>
    </row>
    <row r="43" spans="1:19" x14ac:dyDescent="0.2">
      <c r="A43" s="52">
        <v>5</v>
      </c>
      <c r="B43" s="51" t="s">
        <v>93</v>
      </c>
    </row>
    <row r="44" spans="1:19" x14ac:dyDescent="0.2">
      <c r="A44" s="52">
        <v>6</v>
      </c>
      <c r="B44" s="51" t="s">
        <v>94</v>
      </c>
    </row>
    <row r="45" spans="1:19" x14ac:dyDescent="0.2">
      <c r="A45" s="52">
        <v>7</v>
      </c>
      <c r="B45" s="51" t="s">
        <v>89</v>
      </c>
    </row>
    <row r="46" spans="1:19" x14ac:dyDescent="0.2">
      <c r="A46" s="52">
        <v>8</v>
      </c>
      <c r="B46" s="51" t="s">
        <v>90</v>
      </c>
    </row>
    <row r="47" spans="1:19" x14ac:dyDescent="0.2">
      <c r="A47" s="52">
        <v>9</v>
      </c>
      <c r="B47" s="51" t="s">
        <v>91</v>
      </c>
    </row>
    <row r="48" spans="1:19" x14ac:dyDescent="0.2">
      <c r="A48" s="52">
        <v>10</v>
      </c>
      <c r="B48" s="51" t="s">
        <v>92</v>
      </c>
    </row>
  </sheetData>
  <mergeCells count="1">
    <mergeCell ref="K1:N1"/>
  </mergeCells>
  <phoneticPr fontId="13" type="noConversion"/>
  <conditionalFormatting sqref="H2:N35">
    <cfRule type="expression" dxfId="0" priority="1">
      <formula>$O2-1</formula>
    </cfRule>
  </conditionalFormatting>
  <pageMargins left="0.7" right="0.7" top="0.75" bottom="0.75" header="0.3" footer="0.3"/>
  <pageSetup orientation="portrait" r:id="rId1"/>
  <ignoredErrors>
    <ignoredError sqref="G9 G16:G18 G24 G33:G35" numberStoredAsText="1"/>
  </ignoredErrors>
  <drawing r:id="rId2"/>
  <legacyDrawing r:id="rId3"/>
  <controls>
    <mc:AlternateContent xmlns:mc="http://schemas.openxmlformats.org/markup-compatibility/2006">
      <mc:Choice Requires="x14">
        <control shapeId="1071" r:id="rId4" name="SpinButton1">
          <controlPr defaultSize="0" autoLine="0" r:id="rId5">
            <anchor moveWithCells="1">
              <from>
                <xdr:col>30</xdr:col>
                <xdr:colOff>542925</xdr:colOff>
                <xdr:row>0</xdr:row>
                <xdr:rowOff>0</xdr:rowOff>
              </from>
              <to>
                <xdr:col>30</xdr:col>
                <xdr:colOff>676275</xdr:colOff>
                <xdr:row>1</xdr:row>
                <xdr:rowOff>0</xdr:rowOff>
              </to>
            </anchor>
          </controlPr>
        </control>
      </mc:Choice>
      <mc:Fallback>
        <control shapeId="1071" r:id="rId4" name="SpinButton1"/>
      </mc:Fallback>
    </mc:AlternateContent>
    <mc:AlternateContent xmlns:mc="http://schemas.openxmlformats.org/markup-compatibility/2006">
      <mc:Choice Requires="x14">
        <control shapeId="1034" r:id="rId6" name="CommandButton1">
          <controlPr defaultSize="0" autoLine="0" autoPict="0" r:id="rId7">
            <anchor moveWithCells="1">
              <from>
                <xdr:col>14</xdr:col>
                <xdr:colOff>0</xdr:colOff>
                <xdr:row>0</xdr:row>
                <xdr:rowOff>0</xdr:rowOff>
              </from>
              <to>
                <xdr:col>15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34" r:id="rId6" name="CommandButton1"/>
      </mc:Fallback>
    </mc:AlternateContent>
    <mc:AlternateContent xmlns:mc="http://schemas.openxmlformats.org/markup-compatibility/2006">
      <mc:Choice Requires="x14">
        <control shapeId="1035" r:id="rId8" name="CheckBox1">
          <controlPr defaultSize="0" disabled="1" autoLine="0" autoPict="0" r:id="rId9">
            <anchor moveWithCells="1">
              <from>
                <xdr:col>15</xdr:col>
                <xdr:colOff>0</xdr:colOff>
                <xdr:row>0</xdr:row>
                <xdr:rowOff>0</xdr:rowOff>
              </from>
              <to>
                <xdr:col>16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35" r:id="rId8" name="CheckBox1"/>
      </mc:Fallback>
    </mc:AlternateContent>
    <mc:AlternateContent xmlns:mc="http://schemas.openxmlformats.org/markup-compatibility/2006">
      <mc:Choice Requires="x14">
        <control shapeId="1069" r:id="rId10" name="CheckBox2">
          <controlPr defaultSize="0" disabled="1" autoFill="0" autoLine="0" r:id="rId11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666750</xdr:colOff>
                <xdr:row>1</xdr:row>
                <xdr:rowOff>0</xdr:rowOff>
              </to>
            </anchor>
          </controlPr>
        </control>
      </mc:Choice>
      <mc:Fallback>
        <control shapeId="1069" r:id="rId10" name="CheckBox2"/>
      </mc:Fallback>
    </mc:AlternateContent>
    <mc:AlternateContent xmlns:mc="http://schemas.openxmlformats.org/markup-compatibility/2006">
      <mc:Choice Requires="x14">
        <control shapeId="1073" r:id="rId12" name="Round">
          <controlPr defaultSize="0" autoLine="0" autoPict="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0</xdr:row>
                <xdr:rowOff>180975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 Zehao</dc:creator>
  <cp:lastModifiedBy>Zehao</cp:lastModifiedBy>
  <dcterms:created xsi:type="dcterms:W3CDTF">2020-12-27T05:36:13Z</dcterms:created>
  <dcterms:modified xsi:type="dcterms:W3CDTF">2021-01-10T22:20:27Z</dcterms:modified>
</cp:coreProperties>
</file>