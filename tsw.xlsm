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mitprod-my.sharepoint.com/personal/zehao_mit_edu/Documents/tsw/"/>
    </mc:Choice>
  </mc:AlternateContent>
  <xr:revisionPtr revIDLastSave="331" documentId="8_{941788E0-81C9-4B30-B010-E1D7CC6EBF7F}" xr6:coauthVersionLast="47" xr6:coauthVersionMax="47" xr10:uidLastSave="{788AD44D-3849-4CB7-9647-66EA3223E329}"/>
  <bookViews>
    <workbookView xWindow="-120" yWindow="-120" windowWidth="25440" windowHeight="15390" xr2:uid="{EA36D284-D47D-4EA1-9E63-54AC0AAB410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1" l="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2" i="1"/>
  <c r="X3" i="1"/>
  <c r="X4" i="1"/>
  <c r="X5" i="1"/>
  <c r="X6" i="1"/>
  <c r="X7" i="1"/>
  <c r="X8" i="1"/>
  <c r="X9" i="1"/>
  <c r="X10" i="1"/>
  <c r="X11" i="1"/>
  <c r="X12" i="1"/>
  <c r="X13" i="1"/>
  <c r="X14" i="1"/>
  <c r="X15" i="1"/>
  <c r="X16" i="1"/>
  <c r="X17" i="1"/>
  <c r="X18" i="1"/>
  <c r="X19" i="1"/>
  <c r="X20" i="1"/>
  <c r="X21" i="1"/>
  <c r="X22" i="1"/>
  <c r="X23" i="1"/>
  <c r="X24" i="1"/>
  <c r="X25" i="1"/>
  <c r="X26" i="1"/>
  <c r="X27" i="1"/>
  <c r="X28" i="1"/>
  <c r="X29" i="1"/>
  <c r="X30" i="1"/>
  <c r="X31" i="1"/>
  <c r="X32" i="1"/>
  <c r="X33" i="1"/>
  <c r="X34" i="1"/>
  <c r="X35" i="1"/>
  <c r="X2" i="1"/>
  <c r="B40" i="1"/>
  <c r="V1" i="1"/>
  <c r="U35" i="1"/>
  <c r="D35" i="1" s="1"/>
  <c r="V35" i="1"/>
  <c r="E35" i="1" s="1"/>
  <c r="T35" i="1"/>
  <c r="C35" i="1" s="1"/>
  <c r="U34" i="1"/>
  <c r="D34" i="1" s="1"/>
  <c r="V34" i="1"/>
  <c r="E34" i="1" s="1"/>
  <c r="X1" i="1"/>
  <c r="T1" i="1"/>
  <c r="T2" i="1"/>
  <c r="C2" i="1" s="1"/>
  <c r="W35" i="1" l="1"/>
  <c r="H35" i="1" s="1"/>
  <c r="U2" i="1"/>
  <c r="V2" i="1"/>
  <c r="U3" i="1"/>
  <c r="V3" i="1"/>
  <c r="E3" i="1" s="1"/>
  <c r="U4" i="1"/>
  <c r="V4" i="1"/>
  <c r="U5" i="1"/>
  <c r="V5" i="1"/>
  <c r="U6" i="1"/>
  <c r="V6" i="1"/>
  <c r="U7" i="1"/>
  <c r="V7" i="1"/>
  <c r="U8" i="1"/>
  <c r="V8" i="1"/>
  <c r="U9" i="1"/>
  <c r="V9" i="1"/>
  <c r="U10" i="1"/>
  <c r="V10" i="1"/>
  <c r="U11" i="1"/>
  <c r="V11" i="1"/>
  <c r="U12" i="1"/>
  <c r="V12" i="1"/>
  <c r="U13" i="1"/>
  <c r="V13" i="1"/>
  <c r="U14" i="1"/>
  <c r="V14" i="1"/>
  <c r="U15" i="1"/>
  <c r="V15" i="1"/>
  <c r="U16" i="1"/>
  <c r="V16" i="1"/>
  <c r="U17" i="1"/>
  <c r="V17" i="1"/>
  <c r="U18" i="1"/>
  <c r="V18" i="1"/>
  <c r="U19" i="1"/>
  <c r="V19" i="1"/>
  <c r="U20" i="1"/>
  <c r="V20" i="1"/>
  <c r="U21" i="1"/>
  <c r="V21" i="1"/>
  <c r="U22" i="1"/>
  <c r="V22" i="1"/>
  <c r="U23" i="1"/>
  <c r="V23" i="1"/>
  <c r="U24" i="1"/>
  <c r="V24" i="1"/>
  <c r="U25" i="1"/>
  <c r="V25" i="1"/>
  <c r="U26" i="1"/>
  <c r="V26" i="1"/>
  <c r="U27" i="1"/>
  <c r="V27" i="1"/>
  <c r="U28" i="1"/>
  <c r="V28" i="1"/>
  <c r="U29" i="1"/>
  <c r="V29" i="1"/>
  <c r="U30" i="1"/>
  <c r="V30" i="1"/>
  <c r="U31" i="1"/>
  <c r="V31" i="1"/>
  <c r="U32" i="1"/>
  <c r="V32" i="1"/>
  <c r="U33" i="1"/>
  <c r="V33" i="1"/>
  <c r="W34" i="1"/>
  <c r="H34" i="1" s="1"/>
  <c r="T3" i="1"/>
  <c r="C3" i="1" s="1"/>
  <c r="T4" i="1"/>
  <c r="C4" i="1" s="1"/>
  <c r="T5" i="1"/>
  <c r="C5" i="1" s="1"/>
  <c r="T6" i="1"/>
  <c r="C6" i="1" s="1"/>
  <c r="T7" i="1"/>
  <c r="C7" i="1" s="1"/>
  <c r="T8" i="1"/>
  <c r="C8" i="1" s="1"/>
  <c r="T9" i="1"/>
  <c r="C9" i="1" s="1"/>
  <c r="T10" i="1"/>
  <c r="C10" i="1" s="1"/>
  <c r="T11" i="1"/>
  <c r="C11" i="1" s="1"/>
  <c r="T12" i="1"/>
  <c r="C12" i="1" s="1"/>
  <c r="T13" i="1"/>
  <c r="C13" i="1" s="1"/>
  <c r="T14" i="1"/>
  <c r="C14" i="1" s="1"/>
  <c r="T15" i="1"/>
  <c r="C15" i="1" s="1"/>
  <c r="T16" i="1"/>
  <c r="C16" i="1" s="1"/>
  <c r="T17" i="1"/>
  <c r="C17" i="1" s="1"/>
  <c r="T18" i="1"/>
  <c r="C18" i="1" s="1"/>
  <c r="T19" i="1"/>
  <c r="C19" i="1" s="1"/>
  <c r="T20" i="1"/>
  <c r="C20" i="1" s="1"/>
  <c r="T21" i="1"/>
  <c r="C21" i="1" s="1"/>
  <c r="T22" i="1"/>
  <c r="C22" i="1" s="1"/>
  <c r="T23" i="1"/>
  <c r="C23" i="1" s="1"/>
  <c r="T24" i="1"/>
  <c r="C24" i="1" s="1"/>
  <c r="T25" i="1"/>
  <c r="C25" i="1" s="1"/>
  <c r="T26" i="1"/>
  <c r="C26" i="1" s="1"/>
  <c r="T27" i="1"/>
  <c r="C27" i="1" s="1"/>
  <c r="T28" i="1"/>
  <c r="C28" i="1" s="1"/>
  <c r="T29" i="1"/>
  <c r="C29" i="1" s="1"/>
  <c r="T30" i="1"/>
  <c r="C30" i="1" s="1"/>
  <c r="T31" i="1"/>
  <c r="C31" i="1" s="1"/>
  <c r="T32" i="1"/>
  <c r="C32" i="1" s="1"/>
  <c r="T33" i="1"/>
  <c r="C33" i="1" s="1"/>
  <c r="T34" i="1"/>
  <c r="C34" i="1" s="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I34" i="1" s="1"/>
  <c r="P35" i="1"/>
  <c r="I35" i="1" s="1"/>
  <c r="P2" i="1"/>
  <c r="P3" i="1"/>
  <c r="AB35" i="1" l="1"/>
  <c r="O35" i="1" s="1"/>
  <c r="J35" i="1"/>
  <c r="Y35" i="1"/>
  <c r="L35" i="1" s="1"/>
  <c r="Z35" i="1"/>
  <c r="M35" i="1" s="1"/>
  <c r="AA35" i="1"/>
  <c r="N35" i="1" s="1"/>
  <c r="AB34" i="1"/>
  <c r="O34" i="1" s="1"/>
  <c r="W18" i="1"/>
  <c r="H18" i="1" s="1"/>
  <c r="D18" i="1"/>
  <c r="W6" i="1"/>
  <c r="H6" i="1" s="1"/>
  <c r="D6" i="1"/>
  <c r="W2" i="1"/>
  <c r="H2" i="1" s="1"/>
  <c r="D2" i="1"/>
  <c r="I33" i="1"/>
  <c r="E33" i="1"/>
  <c r="I29" i="1"/>
  <c r="E29" i="1"/>
  <c r="I25" i="1"/>
  <c r="E25" i="1"/>
  <c r="I21" i="1"/>
  <c r="E21" i="1"/>
  <c r="I17" i="1"/>
  <c r="E17" i="1"/>
  <c r="I13" i="1"/>
  <c r="E13" i="1"/>
  <c r="I9" i="1"/>
  <c r="E9" i="1"/>
  <c r="I5" i="1"/>
  <c r="E5" i="1"/>
  <c r="W17" i="1"/>
  <c r="H17" i="1" s="1"/>
  <c r="D17" i="1"/>
  <c r="I28" i="1"/>
  <c r="E28" i="1"/>
  <c r="I16" i="1"/>
  <c r="E16" i="1"/>
  <c r="I8" i="1"/>
  <c r="E8" i="1"/>
  <c r="W22" i="1"/>
  <c r="H22" i="1" s="1"/>
  <c r="D22" i="1"/>
  <c r="W29" i="1"/>
  <c r="H29" i="1" s="1"/>
  <c r="D29" i="1"/>
  <c r="I24" i="1"/>
  <c r="E24" i="1"/>
  <c r="I20" i="1"/>
  <c r="E20" i="1"/>
  <c r="I12" i="1"/>
  <c r="E12" i="1"/>
  <c r="I4" i="1"/>
  <c r="E4" i="1"/>
  <c r="W32" i="1"/>
  <c r="H32" i="1" s="1"/>
  <c r="D32" i="1"/>
  <c r="W28" i="1"/>
  <c r="H28" i="1" s="1"/>
  <c r="D28" i="1"/>
  <c r="W24" i="1"/>
  <c r="H24" i="1" s="1"/>
  <c r="D24" i="1"/>
  <c r="W20" i="1"/>
  <c r="H20" i="1" s="1"/>
  <c r="D20" i="1"/>
  <c r="W16" i="1"/>
  <c r="H16" i="1" s="1"/>
  <c r="D16" i="1"/>
  <c r="W12" i="1"/>
  <c r="H12" i="1" s="1"/>
  <c r="D12" i="1"/>
  <c r="W8" i="1"/>
  <c r="H8" i="1" s="1"/>
  <c r="D8" i="1"/>
  <c r="W4" i="1"/>
  <c r="H4" i="1" s="1"/>
  <c r="D4" i="1"/>
  <c r="W10" i="1"/>
  <c r="H10" i="1" s="1"/>
  <c r="D10" i="1"/>
  <c r="W33" i="1"/>
  <c r="H33" i="1" s="1"/>
  <c r="D33" i="1"/>
  <c r="W5" i="1"/>
  <c r="H5" i="1" s="1"/>
  <c r="D5" i="1"/>
  <c r="I31" i="1"/>
  <c r="E31" i="1"/>
  <c r="I27" i="1"/>
  <c r="E27" i="1"/>
  <c r="I23" i="1"/>
  <c r="E23" i="1"/>
  <c r="I19" i="1"/>
  <c r="E19" i="1"/>
  <c r="I15" i="1"/>
  <c r="E15" i="1"/>
  <c r="I11" i="1"/>
  <c r="E11" i="1"/>
  <c r="I7" i="1"/>
  <c r="E7" i="1"/>
  <c r="W26" i="1"/>
  <c r="H26" i="1" s="1"/>
  <c r="D26" i="1"/>
  <c r="W13" i="1"/>
  <c r="H13" i="1" s="1"/>
  <c r="D13" i="1"/>
  <c r="W31" i="1"/>
  <c r="H31" i="1" s="1"/>
  <c r="D31" i="1"/>
  <c r="W27" i="1"/>
  <c r="H27" i="1" s="1"/>
  <c r="D27" i="1"/>
  <c r="W23" i="1"/>
  <c r="H23" i="1" s="1"/>
  <c r="D23" i="1"/>
  <c r="W19" i="1"/>
  <c r="H19" i="1" s="1"/>
  <c r="D19" i="1"/>
  <c r="W15" i="1"/>
  <c r="H15" i="1" s="1"/>
  <c r="D15" i="1"/>
  <c r="W11" i="1"/>
  <c r="H11" i="1" s="1"/>
  <c r="D11" i="1"/>
  <c r="W7" i="1"/>
  <c r="H7" i="1" s="1"/>
  <c r="D7" i="1"/>
  <c r="W3" i="1"/>
  <c r="H3" i="1" s="1"/>
  <c r="D3" i="1"/>
  <c r="W30" i="1"/>
  <c r="H30" i="1" s="1"/>
  <c r="D30" i="1"/>
  <c r="W14" i="1"/>
  <c r="H14" i="1" s="1"/>
  <c r="D14" i="1"/>
  <c r="W25" i="1"/>
  <c r="H25" i="1" s="1"/>
  <c r="D25" i="1"/>
  <c r="W21" i="1"/>
  <c r="H21" i="1" s="1"/>
  <c r="D21" i="1"/>
  <c r="W9" i="1"/>
  <c r="H9" i="1" s="1"/>
  <c r="D9" i="1"/>
  <c r="I32" i="1"/>
  <c r="E32" i="1"/>
  <c r="I30" i="1"/>
  <c r="E30" i="1"/>
  <c r="I26" i="1"/>
  <c r="Z26" i="1" s="1"/>
  <c r="M26" i="1" s="1"/>
  <c r="E26" i="1"/>
  <c r="I22" i="1"/>
  <c r="J22" i="1" s="1"/>
  <c r="E22" i="1"/>
  <c r="I18" i="1"/>
  <c r="E18" i="1"/>
  <c r="I14" i="1"/>
  <c r="Y14" i="1" s="1"/>
  <c r="L14" i="1" s="1"/>
  <c r="E14" i="1"/>
  <c r="I10" i="1"/>
  <c r="E10" i="1"/>
  <c r="I6" i="1"/>
  <c r="E6" i="1"/>
  <c r="I2" i="1"/>
  <c r="E2" i="1"/>
  <c r="Y27" i="1"/>
  <c r="L27" i="1" s="1"/>
  <c r="AA21" i="1"/>
  <c r="N21" i="1" s="1"/>
  <c r="Y17" i="1"/>
  <c r="L17" i="1" s="1"/>
  <c r="AA24" i="1"/>
  <c r="N24" i="1" s="1"/>
  <c r="Y16" i="1"/>
  <c r="L16" i="1" s="1"/>
  <c r="Y8" i="1"/>
  <c r="L8" i="1" s="1"/>
  <c r="Z25" i="1"/>
  <c r="M25" i="1" s="1"/>
  <c r="Y29" i="1"/>
  <c r="L29" i="1" s="1"/>
  <c r="AB5" i="1"/>
  <c r="O5" i="1" s="1"/>
  <c r="I3" i="1"/>
  <c r="Z13" i="1"/>
  <c r="M13" i="1" s="1"/>
  <c r="Y25" i="1"/>
  <c r="L25" i="1" s="1"/>
  <c r="Z4" i="1"/>
  <c r="M4" i="1" s="1"/>
  <c r="Y34" i="1"/>
  <c r="L34" i="1" s="1"/>
  <c r="AA34" i="1"/>
  <c r="N34" i="1" s="1"/>
  <c r="J34" i="1"/>
  <c r="Z34" i="1"/>
  <c r="M34" i="1" s="1"/>
  <c r="AA9" i="1"/>
  <c r="N9" i="1" s="1"/>
  <c r="Y28" i="1"/>
  <c r="L28" i="1" s="1"/>
  <c r="Z11" i="1" l="1"/>
  <c r="M11" i="1" s="1"/>
  <c r="Y11" i="1"/>
  <c r="L11" i="1" s="1"/>
  <c r="AB31" i="1"/>
  <c r="O31" i="1" s="1"/>
  <c r="Y13" i="1"/>
  <c r="L13" i="1" s="1"/>
  <c r="Z15" i="1"/>
  <c r="M15" i="1" s="1"/>
  <c r="AB29" i="1"/>
  <c r="O29" i="1" s="1"/>
  <c r="Y24" i="1"/>
  <c r="L24" i="1" s="1"/>
  <c r="Y21" i="1"/>
  <c r="L21" i="1" s="1"/>
  <c r="AB28" i="1"/>
  <c r="O28" i="1" s="1"/>
  <c r="J4" i="1"/>
  <c r="J20" i="1"/>
  <c r="Y23" i="1"/>
  <c r="L23" i="1" s="1"/>
  <c r="AA5" i="1"/>
  <c r="N5" i="1" s="1"/>
  <c r="Z29" i="1"/>
  <c r="M29" i="1" s="1"/>
  <c r="Z8" i="1"/>
  <c r="M8" i="1" s="1"/>
  <c r="Z21" i="1"/>
  <c r="M21" i="1" s="1"/>
  <c r="Z20" i="1"/>
  <c r="M20" i="1" s="1"/>
  <c r="Y18" i="1"/>
  <c r="L18" i="1" s="1"/>
  <c r="AA13" i="1"/>
  <c r="N13" i="1" s="1"/>
  <c r="AA31" i="1"/>
  <c r="N31" i="1" s="1"/>
  <c r="Z5" i="1"/>
  <c r="M5" i="1" s="1"/>
  <c r="AA4" i="1"/>
  <c r="N4" i="1" s="1"/>
  <c r="AA8" i="1"/>
  <c r="N8" i="1" s="1"/>
  <c r="AA26" i="1"/>
  <c r="N26" i="1" s="1"/>
  <c r="AA27" i="1"/>
  <c r="N27" i="1" s="1"/>
  <c r="AB22" i="1"/>
  <c r="O22" i="1" s="1"/>
  <c r="J12" i="1"/>
  <c r="AA11" i="1"/>
  <c r="N11" i="1" s="1"/>
  <c r="J19" i="1"/>
  <c r="J27" i="1"/>
  <c r="AB16" i="1"/>
  <c r="O16" i="1" s="1"/>
  <c r="Z24" i="1"/>
  <c r="M24" i="1" s="1"/>
  <c r="J6" i="1"/>
  <c r="J33" i="1"/>
  <c r="AB11" i="1"/>
  <c r="O11" i="1" s="1"/>
  <c r="AB27" i="1"/>
  <c r="O27" i="1" s="1"/>
  <c r="Y9" i="1"/>
  <c r="L9" i="1" s="1"/>
  <c r="J25" i="1"/>
  <c r="Z16" i="1"/>
  <c r="M16" i="1" s="1"/>
  <c r="J24" i="1"/>
  <c r="Z9" i="1"/>
  <c r="M9" i="1" s="1"/>
  <c r="Y20" i="1"/>
  <c r="L20" i="1" s="1"/>
  <c r="Z17" i="1"/>
  <c r="M17" i="1" s="1"/>
  <c r="Z10" i="1"/>
  <c r="M10" i="1" s="1"/>
  <c r="AB30" i="1"/>
  <c r="O30" i="1" s="1"/>
  <c r="AA20" i="1"/>
  <c r="N20" i="1" s="1"/>
  <c r="AB13" i="1"/>
  <c r="O13" i="1" s="1"/>
  <c r="Y15" i="1"/>
  <c r="L15" i="1" s="1"/>
  <c r="Z23" i="1"/>
  <c r="M23" i="1" s="1"/>
  <c r="Y31" i="1"/>
  <c r="L31" i="1" s="1"/>
  <c r="Y5" i="1"/>
  <c r="L5" i="1" s="1"/>
  <c r="AA29" i="1"/>
  <c r="N29" i="1" s="1"/>
  <c r="Z28" i="1"/>
  <c r="M28" i="1" s="1"/>
  <c r="AA28" i="1"/>
  <c r="N28" i="1" s="1"/>
  <c r="AB8" i="1"/>
  <c r="O8" i="1" s="1"/>
  <c r="AA16" i="1"/>
  <c r="N16" i="1" s="1"/>
  <c r="AB24" i="1"/>
  <c r="O24" i="1" s="1"/>
  <c r="AB21" i="1"/>
  <c r="O21" i="1" s="1"/>
  <c r="AA25" i="1"/>
  <c r="N25" i="1" s="1"/>
  <c r="AA6" i="1"/>
  <c r="N6" i="1" s="1"/>
  <c r="Y10" i="1"/>
  <c r="L10" i="1" s="1"/>
  <c r="AA10" i="1"/>
  <c r="N10" i="1" s="1"/>
  <c r="AA23" i="1"/>
  <c r="N23" i="1" s="1"/>
  <c r="J2" i="1"/>
  <c r="AB18" i="1"/>
  <c r="O18" i="1" s="1"/>
  <c r="AA7" i="1"/>
  <c r="N7" i="1" s="1"/>
  <c r="AB15" i="1"/>
  <c r="O15" i="1" s="1"/>
  <c r="J21" i="1"/>
  <c r="AB7" i="1"/>
  <c r="O7" i="1" s="1"/>
  <c r="AB2" i="1"/>
  <c r="AB6" i="1"/>
  <c r="O6" i="1" s="1"/>
  <c r="AB32" i="1"/>
  <c r="O32" i="1" s="1"/>
  <c r="J16" i="1"/>
  <c r="J11" i="1"/>
  <c r="AB23" i="1"/>
  <c r="O23" i="1" s="1"/>
  <c r="J31" i="1"/>
  <c r="AB10" i="1"/>
  <c r="O10" i="1" s="1"/>
  <c r="AA15" i="1"/>
  <c r="N15" i="1" s="1"/>
  <c r="Z2" i="1"/>
  <c r="M2" i="1" s="1"/>
  <c r="Z18" i="1"/>
  <c r="M18" i="1" s="1"/>
  <c r="AA2" i="1"/>
  <c r="N2" i="1" s="1"/>
  <c r="AA18" i="1"/>
  <c r="N18" i="1" s="1"/>
  <c r="Y7" i="1"/>
  <c r="L7" i="1" s="1"/>
  <c r="Y26" i="1"/>
  <c r="L26" i="1" s="1"/>
  <c r="J30" i="1"/>
  <c r="AA32" i="1"/>
  <c r="N32" i="1" s="1"/>
  <c r="AA12" i="1"/>
  <c r="N12" i="1" s="1"/>
  <c r="Z14" i="1"/>
  <c r="M14" i="1" s="1"/>
  <c r="Z22" i="1"/>
  <c r="M22" i="1" s="1"/>
  <c r="Y19" i="1"/>
  <c r="L19" i="1" s="1"/>
  <c r="AB12" i="1"/>
  <c r="O12" i="1" s="1"/>
  <c r="AB17" i="1"/>
  <c r="O17" i="1" s="1"/>
  <c r="AB33" i="1"/>
  <c r="O33" i="1" s="1"/>
  <c r="Y2" i="1"/>
  <c r="L2" i="1" s="1"/>
  <c r="AA14" i="1"/>
  <c r="N14" i="1" s="1"/>
  <c r="AA22" i="1"/>
  <c r="N22" i="1" s="1"/>
  <c r="AA33" i="1"/>
  <c r="N33" i="1" s="1"/>
  <c r="AA17" i="1"/>
  <c r="N17" i="1" s="1"/>
  <c r="Z19" i="1"/>
  <c r="M19" i="1" s="1"/>
  <c r="Z33" i="1"/>
  <c r="M33" i="1" s="1"/>
  <c r="Y33" i="1"/>
  <c r="L33" i="1" s="1"/>
  <c r="AA19" i="1"/>
  <c r="N19" i="1" s="1"/>
  <c r="Y32" i="1"/>
  <c r="L32" i="1" s="1"/>
  <c r="AB20" i="1"/>
  <c r="O20" i="1" s="1"/>
  <c r="AA30" i="1"/>
  <c r="N30" i="1" s="1"/>
  <c r="J26" i="1"/>
  <c r="J7" i="1"/>
  <c r="AB19" i="1"/>
  <c r="O19" i="1" s="1"/>
  <c r="Z12" i="1"/>
  <c r="M12" i="1" s="1"/>
  <c r="Y22" i="1"/>
  <c r="L22" i="1" s="1"/>
  <c r="Z27" i="1"/>
  <c r="M27" i="1" s="1"/>
  <c r="AB9" i="1"/>
  <c r="O9" i="1" s="1"/>
  <c r="AB25" i="1"/>
  <c r="O25" i="1" s="1"/>
  <c r="AB14" i="1"/>
  <c r="O14" i="1" s="1"/>
  <c r="Y6" i="1"/>
  <c r="L6" i="1" s="1"/>
  <c r="Y12" i="1"/>
  <c r="L12" i="1" s="1"/>
  <c r="Z30" i="1"/>
  <c r="M30" i="1" s="1"/>
  <c r="Z6" i="1"/>
  <c r="M6" i="1" s="1"/>
  <c r="J18" i="1"/>
  <c r="Z7" i="1"/>
  <c r="M7" i="1" s="1"/>
  <c r="J15" i="1"/>
  <c r="J23" i="1"/>
  <c r="Z31" i="1"/>
  <c r="M31" i="1" s="1"/>
  <c r="J17" i="1"/>
  <c r="J32" i="1"/>
  <c r="J8" i="1"/>
  <c r="J10" i="1"/>
  <c r="AB26" i="1"/>
  <c r="O26" i="1" s="1"/>
  <c r="J28" i="1"/>
  <c r="J5" i="1"/>
  <c r="Z32" i="1"/>
  <c r="M32" i="1" s="1"/>
  <c r="Y30" i="1"/>
  <c r="L30" i="1" s="1"/>
  <c r="J14" i="1"/>
  <c r="J9" i="1"/>
  <c r="AB4" i="1"/>
  <c r="O4" i="1" s="1"/>
  <c r="Y4" i="1"/>
  <c r="L4" i="1" s="1"/>
  <c r="J13" i="1"/>
  <c r="J29" i="1"/>
  <c r="AB3" i="1"/>
  <c r="O3" i="1" s="1"/>
  <c r="AA3" i="1"/>
  <c r="N3" i="1" s="1"/>
  <c r="Z3" i="1"/>
  <c r="M3" i="1" s="1"/>
  <c r="J3" i="1"/>
  <c r="Y3" i="1"/>
  <c r="L3" i="1" s="1"/>
  <c r="O2" i="1"/>
</calcChain>
</file>

<file path=xl/sharedStrings.xml><?xml version="1.0" encoding="utf-8"?>
<sst xmlns="http://schemas.openxmlformats.org/spreadsheetml/2006/main" count="97" uniqueCount="95">
  <si>
    <t>Name</t>
  </si>
  <si>
    <t>Life</t>
  </si>
  <si>
    <t>Offense</t>
  </si>
  <si>
    <t>Defense</t>
  </si>
  <si>
    <t>Gold</t>
  </si>
  <si>
    <t>Green Slime</t>
  </si>
  <si>
    <t>Red Slime</t>
  </si>
  <si>
    <t>Bat</t>
  </si>
  <si>
    <t>Priest</t>
  </si>
  <si>
    <t>Skeleton C</t>
  </si>
  <si>
    <t>Skeleton B</t>
  </si>
  <si>
    <t>Skeleton A</t>
  </si>
  <si>
    <t>Gate-Keeper C</t>
  </si>
  <si>
    <t>Big Slime</t>
  </si>
  <si>
    <t>Big Bat</t>
  </si>
  <si>
    <t>Superion Priest</t>
  </si>
  <si>
    <t>Rock</t>
  </si>
  <si>
    <t>Giant Octopus</t>
  </si>
  <si>
    <t>Great Magic Master</t>
  </si>
  <si>
    <t>Ghost Soldier</t>
  </si>
  <si>
    <t>Soldier</t>
  </si>
  <si>
    <t>Slime Man</t>
  </si>
  <si>
    <t>Gate-Keeper B</t>
  </si>
  <si>
    <t>Swordsman</t>
  </si>
  <si>
    <t>Knight</t>
  </si>
  <si>
    <t>Golden Knight</t>
  </si>
  <si>
    <t>Magician A</t>
  </si>
  <si>
    <t>Magician B</t>
  </si>
  <si>
    <t>Slime Lord</t>
  </si>
  <si>
    <t>Vampire Bat</t>
  </si>
  <si>
    <t>Dark Knight</t>
  </si>
  <si>
    <t>Magic Seargent</t>
  </si>
  <si>
    <t>Gate-Keeper A</t>
  </si>
  <si>
    <t>Magic Sergeant, Zeno</t>
  </si>
  <si>
    <t>Floor</t>
  </si>
  <si>
    <t xml:space="preserve"> 1 3 4 5 6 7 8 9 30 34 </t>
  </si>
  <si>
    <t xml:space="preserve"> 1 3 4 5 6 7 8 9 30 34 46 </t>
  </si>
  <si>
    <t xml:space="preserve"> 1 3 4 5 6 7 8 9 11 12 15 19 20 34 </t>
  </si>
  <si>
    <t xml:space="preserve"> 1 3 4 5 6 7 8 9 10 </t>
  </si>
  <si>
    <t xml:space="preserve"> 1 3 4 6 7 8 9 10 46 </t>
  </si>
  <si>
    <t xml:space="preserve"> 1 4 5 6 7 8 9 10 </t>
  </si>
  <si>
    <t xml:space="preserve"> 8 17 </t>
  </si>
  <si>
    <t xml:space="preserve"> 10 </t>
  </si>
  <si>
    <t xml:space="preserve"> 11 12 14 15 16 17 18 19 20 46 </t>
  </si>
  <si>
    <t xml:space="preserve"> 11 12 14 15 16 17 18 19 20 </t>
  </si>
  <si>
    <t xml:space="preserve"> 11 12 14 15 16 17 18 19 38 46 </t>
  </si>
  <si>
    <t xml:space="preserve"> 14 15 16 17 18 19 31 33 36 </t>
  </si>
  <si>
    <t xml:space="preserve"> 14 16 18 19 20 </t>
  </si>
  <si>
    <t xml:space="preserve"> 15 </t>
  </si>
  <si>
    <t xml:space="preserve"> 20 </t>
  </si>
  <si>
    <t xml:space="preserve"> 25 </t>
  </si>
  <si>
    <t xml:space="preserve"> 31 32 33 34 36 37 38 39 40 </t>
  </si>
  <si>
    <t xml:space="preserve"> 31 32 33 34 36 37 38 39 40 46 </t>
  </si>
  <si>
    <t xml:space="preserve"> 16 31 32 33 34 36 37 38 39 40 </t>
  </si>
  <si>
    <t xml:space="preserve"> 2 32 38 </t>
  </si>
  <si>
    <t xml:space="preserve"> 35 </t>
  </si>
  <si>
    <t xml:space="preserve"> 31 32 34 36 37 38 39 40 46 </t>
  </si>
  <si>
    <t xml:space="preserve"> 32 40 42 </t>
  </si>
  <si>
    <t xml:space="preserve"> 41 42 43 45 46 47 48 </t>
  </si>
  <si>
    <t xml:space="preserve"> 41 42 43 45 46 47 48 49 </t>
  </si>
  <si>
    <t xml:space="preserve"> 42 43 45 48 49 </t>
  </si>
  <si>
    <t xml:space="preserve"> 41 42 43 45 48 49 </t>
  </si>
  <si>
    <t xml:space="preserve"> 44 </t>
  </si>
  <si>
    <t xml:space="preserve"> 49 </t>
  </si>
  <si>
    <t xml:space="preserve"> 50 </t>
  </si>
  <si>
    <t>Floor(s)</t>
  </si>
  <si>
    <t>(2nd round)</t>
  </si>
  <si>
    <t>Damage</t>
  </si>
  <si>
    <t>Loss/Hit</t>
  </si>
  <si>
    <t># of Hits</t>
  </si>
  <si>
    <t>Cross</t>
  </si>
  <si>
    <t>DragonSl</t>
  </si>
  <si>
    <t>Zombie [C]</t>
  </si>
  <si>
    <t>Zombie Knight [C]</t>
  </si>
  <si>
    <t>Vampire [C]</t>
  </si>
  <si>
    <t>Dragon [D]</t>
  </si>
  <si>
    <t>Interval</t>
  </si>
  <si>
    <t>1st</t>
  </si>
  <si>
    <t>2nd</t>
  </si>
  <si>
    <t xml:space="preserve"> 31 33 34 36 37 38 39 40 46 </t>
  </si>
  <si>
    <t xml:space="preserve"> 11 12 14 15 16 17 18 19 30 34 </t>
  </si>
  <si>
    <t>You must enable "macro" in this file in order to make the spreadsheet function properly.</t>
  </si>
  <si>
    <t>Tick "Pause" (in cell Q1) to stop refreshing the game data.</t>
  </si>
  <si>
    <t>To prevent undesired and unintentional misoperation, saving this file is highly deprecated. So this spreadsheet will be directly closed without asking you "whether to save" even if change(s) are made.</t>
  </si>
  <si>
    <t>If the monster's name is in bold font, it means that you can't eliminate it by a destructive ball; if the name includes "[C]" or "[D]" in the end, it means it will be affected by a cross or dragon slayer.</t>
  </si>
  <si>
    <t>If a row has a blue background instead of red, it means the monster is currently affected by a cross or dragon slayer.</t>
  </si>
  <si>
    <r>
      <t>Tick "ShowAll" (in cell P1) to show all monsters' data, or uncheck it to show only monsters on the current floor.</t>
    </r>
    <r>
      <rPr>
        <sz val="10"/>
        <color theme="4"/>
        <rFont val="Arial"/>
        <family val="2"/>
      </rPr>
      <t xml:space="preserve"> You can view monsters on another floor by changing Z1 value, but you have to tick "Pause" first (see #4 &amp; 5).</t>
    </r>
  </si>
  <si>
    <r>
      <t xml:space="preserve">Notes </t>
    </r>
    <r>
      <rPr>
        <b/>
        <sz val="10"/>
        <color theme="4"/>
        <rFont val="Arial"/>
        <family val="2"/>
      </rPr>
      <t>(Updates labelled blue)</t>
    </r>
  </si>
  <si>
    <r>
      <t xml:space="preserve">When the checkbox "Pause" is ticked, you can manually assign your offensive / defensive power in cells </t>
    </r>
    <r>
      <rPr>
        <sz val="10"/>
        <color theme="4"/>
        <rFont val="Arial"/>
        <family val="2"/>
      </rPr>
      <t>U1 and W1 (DO NOT change V1 or X1)</t>
    </r>
    <r>
      <rPr>
        <sz val="10"/>
        <color theme="1"/>
        <rFont val="Arial"/>
        <family val="2"/>
      </rPr>
      <t>, and indicate whether you have a cross or dragon slayer in cells AB1 and AD1.</t>
    </r>
  </si>
  <si>
    <t xml:space="preserve">   Next Few Critical Values</t>
  </si>
  <si>
    <t>Prev.</t>
  </si>
  <si>
    <r>
      <t xml:space="preserve">Column H: damage per hit; column I: number of hits YOU will take, which is # hits TO the monster MINUS ONE; Column </t>
    </r>
    <r>
      <rPr>
        <sz val="10"/>
        <color theme="4"/>
        <rFont val="Arial"/>
        <family val="2"/>
      </rPr>
      <t xml:space="preserve">K / </t>
    </r>
    <r>
      <rPr>
        <sz val="10"/>
        <color theme="1"/>
        <rFont val="Arial"/>
        <family val="2"/>
      </rPr>
      <t xml:space="preserve">L to O: if your offensive power were </t>
    </r>
    <r>
      <rPr>
        <sz val="10"/>
        <color theme="4"/>
        <rFont val="Arial"/>
        <family val="2"/>
      </rPr>
      <t>decreased /</t>
    </r>
    <r>
      <rPr>
        <sz val="10"/>
        <color theme="1"/>
        <rFont val="Arial"/>
        <family val="2"/>
      </rPr>
      <t xml:space="preserve"> raised by these values, # hits would</t>
    </r>
    <r>
      <rPr>
        <sz val="10"/>
        <color theme="4"/>
        <rFont val="Arial"/>
        <family val="2"/>
      </rPr>
      <t xml:space="preserve"> remain the same / </t>
    </r>
    <r>
      <rPr>
        <sz val="10"/>
        <color theme="1"/>
        <rFont val="Arial"/>
        <family val="2"/>
      </rPr>
      <t>be reduced by 1 to 4.</t>
    </r>
  </si>
  <si>
    <t>If you tick "44Analysis" (in R1) when you are in the 2nd round, the quotients and remainders of the values divided by 44 will be shown, which will help you compare them to the 1st round.</t>
  </si>
  <si>
    <t>OUTSIDE</t>
  </si>
  <si>
    <r>
      <t>In drop-down list in cell A1, you can indicate whether you are in the 1st or 2nd round (a.k.a. "the back side") of the game, but you have to tick "Pause" first (see #4 &amp; 5).</t>
    </r>
    <r>
      <rPr>
        <sz val="10"/>
        <color theme="4"/>
        <rFont val="Arial"/>
        <family val="2"/>
      </rPr>
      <t xml:space="preserve"> In the 2nd round, cells R1 ("44Analysis", see #11) to T1 (HP) will be made visible.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</si>
</sst>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True&quot;;&quot;True&quot;;&quot;False&quot;"/>
    <numFmt numFmtId="165" formatCode="\ "/>
    <numFmt numFmtId="166" formatCode="&quot;00:&quot;00"/>
    <numFmt numFmtId="167" formatCode="&quot;HP&quot;"/>
    <numFmt numFmtId="168" formatCode="&quot;ATK&quot;"/>
    <numFmt numFmtId="169" formatCode="&quot;DEF&quot;"/>
    <numFmt numFmtId="170" formatCode="\ ;\ ;\ ;\ "/>
  </numFmts>
  <fonts count="17" x14ac:knownFonts="1">
    <font>
      <sz val="11"/>
      <color theme="1"/>
      <name val="微软雅黑"/>
      <family val="2"/>
      <charset val="134"/>
    </font>
    <font>
      <sz val="11"/>
      <color theme="1"/>
      <name val="Arial"/>
      <family val="2"/>
    </font>
    <font>
      <sz val="10"/>
      <color theme="1"/>
      <name val="Arial"/>
      <family val="2"/>
    </font>
    <font>
      <b/>
      <sz val="10"/>
      <name val="Arial"/>
      <family val="2"/>
    </font>
    <font>
      <sz val="10"/>
      <name val="Arial"/>
      <family val="2"/>
    </font>
    <font>
      <sz val="11"/>
      <color rgb="FFC00000"/>
      <name val="Arial"/>
      <family val="2"/>
    </font>
    <font>
      <b/>
      <sz val="10"/>
      <color rgb="FFC00000"/>
      <name val="Arial"/>
      <family val="2"/>
    </font>
    <font>
      <sz val="10"/>
      <color rgb="FFC00000"/>
      <name val="Arial"/>
      <family val="2"/>
    </font>
    <font>
      <b/>
      <sz val="10"/>
      <color theme="1"/>
      <name val="Arial"/>
      <family val="2"/>
    </font>
    <font>
      <b/>
      <sz val="10"/>
      <color theme="0" tint="-0.34998626667073579"/>
      <name val="Arial"/>
      <family val="2"/>
    </font>
    <font>
      <sz val="10"/>
      <color theme="0" tint="-0.34998626667073579"/>
      <name val="Arial"/>
      <family val="2"/>
    </font>
    <font>
      <sz val="11"/>
      <color theme="4" tint="-0.499984740745262"/>
      <name val="Arial"/>
      <family val="2"/>
    </font>
    <font>
      <sz val="11"/>
      <color theme="0"/>
      <name val="Arial"/>
      <family val="2"/>
    </font>
    <font>
      <sz val="8"/>
      <name val="微软雅黑"/>
      <family val="2"/>
      <charset val="134"/>
    </font>
    <font>
      <sz val="8"/>
      <color rgb="FF000000"/>
      <name val="Segoe UI"/>
      <family val="2"/>
    </font>
    <font>
      <sz val="10"/>
      <color theme="4"/>
      <name val="Arial"/>
      <family val="2"/>
    </font>
    <font>
      <b/>
      <sz val="10"/>
      <color theme="4"/>
      <name val="Arial"/>
      <family val="2"/>
    </font>
  </fonts>
  <fills count="6">
    <fill>
      <patternFill patternType="none"/>
    </fill>
    <fill>
      <patternFill patternType="gray125"/>
    </fill>
    <fill>
      <patternFill patternType="solid">
        <fgColor rgb="FFFFFFFF"/>
        <bgColor indexed="64"/>
      </patternFill>
    </fill>
    <fill>
      <patternFill patternType="solid">
        <fgColor rgb="FFF8F8F8"/>
        <bgColor indexed="64"/>
      </patternFill>
    </fill>
    <fill>
      <patternFill patternType="solid">
        <fgColor theme="5"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thin">
        <color indexed="64"/>
      </right>
      <top style="medium">
        <color indexed="64"/>
      </top>
      <bottom style="thin">
        <color indexed="64"/>
      </bottom>
      <diagonal/>
    </border>
    <border>
      <left/>
      <right/>
      <top/>
      <bottom style="thin">
        <color indexed="64"/>
      </bottom>
      <diagonal/>
    </border>
    <border>
      <left/>
      <right/>
      <top style="medium">
        <color auto="1"/>
      </top>
      <bottom/>
      <diagonal/>
    </border>
  </borders>
  <cellStyleXfs count="1">
    <xf numFmtId="0" fontId="0" fillId="0" borderId="0"/>
  </cellStyleXfs>
  <cellXfs count="73">
    <xf numFmtId="0" fontId="0" fillId="0" borderId="0" xfId="0"/>
    <xf numFmtId="0" fontId="1" fillId="0" borderId="0" xfId="0" applyFont="1"/>
    <xf numFmtId="0" fontId="4" fillId="0" borderId="0" xfId="0" applyFont="1" applyAlignment="1">
      <alignment horizontal="center"/>
    </xf>
    <xf numFmtId="0" fontId="4" fillId="0" borderId="0" xfId="0" applyFont="1" applyAlignment="1">
      <alignment horizontal="center" vertical="center"/>
    </xf>
    <xf numFmtId="0" fontId="1" fillId="4" borderId="0" xfId="0" applyFont="1" applyFill="1" applyAlignment="1">
      <alignment horizontal="center" vertical="center"/>
    </xf>
    <xf numFmtId="0" fontId="5" fillId="0" borderId="0" xfId="0" applyFont="1" applyAlignment="1">
      <alignment horizontal="center" vertical="center"/>
    </xf>
    <xf numFmtId="0" fontId="6" fillId="4" borderId="1" xfId="0" applyFont="1" applyFill="1" applyBorder="1" applyAlignment="1">
      <alignment horizontal="center" vertical="center"/>
    </xf>
    <xf numFmtId="0" fontId="4" fillId="0" borderId="1" xfId="0" applyFont="1" applyFill="1" applyBorder="1" applyAlignment="1">
      <alignment horizontal="center" vertical="center"/>
    </xf>
    <xf numFmtId="0" fontId="4"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4" fillId="0" borderId="2" xfId="0" applyFont="1" applyFill="1" applyBorder="1" applyAlignment="1">
      <alignment horizontal="center"/>
    </xf>
    <xf numFmtId="0" fontId="4" fillId="2" borderId="2" xfId="0" applyFont="1" applyFill="1" applyBorder="1" applyAlignment="1">
      <alignment horizontal="center"/>
    </xf>
    <xf numFmtId="0" fontId="7" fillId="4" borderId="1" xfId="0" applyFont="1" applyFill="1" applyBorder="1" applyAlignment="1">
      <alignment horizontal="center" vertical="center"/>
    </xf>
    <xf numFmtId="0" fontId="7" fillId="4" borderId="3" xfId="0" applyFont="1" applyFill="1" applyBorder="1" applyAlignment="1">
      <alignment horizontal="center" vertical="center"/>
    </xf>
    <xf numFmtId="164" fontId="5" fillId="0" borderId="0" xfId="0" applyNumberFormat="1" applyFont="1" applyAlignment="1">
      <alignment horizontal="center" vertical="center"/>
    </xf>
    <xf numFmtId="165" fontId="1" fillId="0" borderId="0" xfId="0" applyNumberFormat="1" applyFont="1"/>
    <xf numFmtId="0" fontId="2" fillId="0" borderId="0" xfId="0" applyFont="1" applyFill="1" applyBorder="1" applyAlignment="1">
      <alignment horizontal="center" vertical="center"/>
    </xf>
    <xf numFmtId="0" fontId="8" fillId="0" borderId="0" xfId="0" applyFont="1" applyFill="1" applyBorder="1" applyAlignment="1">
      <alignment horizontal="center" vertical="center"/>
    </xf>
    <xf numFmtId="49" fontId="10" fillId="0" borderId="1" xfId="0" applyNumberFormat="1" applyFont="1" applyBorder="1" applyAlignment="1">
      <alignment horizontal="center" vertical="center" wrapText="1"/>
    </xf>
    <xf numFmtId="0" fontId="10" fillId="0" borderId="0" xfId="0" applyFont="1" applyAlignment="1">
      <alignment horizontal="center" vertical="center"/>
    </xf>
    <xf numFmtId="49" fontId="10" fillId="0" borderId="0" xfId="0" applyNumberFormat="1" applyFont="1" applyAlignment="1">
      <alignment horizontal="center" vertical="center"/>
    </xf>
    <xf numFmtId="0" fontId="1" fillId="5" borderId="0" xfId="0" applyFont="1" applyFill="1" applyAlignment="1">
      <alignment horizontal="center" vertical="center"/>
    </xf>
    <xf numFmtId="166" fontId="11" fillId="0" borderId="0" xfId="0" applyNumberFormat="1" applyFont="1" applyAlignment="1">
      <alignment horizontal="center" vertical="center"/>
    </xf>
    <xf numFmtId="1" fontId="4" fillId="2" borderId="1" xfId="0" applyNumberFormat="1" applyFont="1" applyFill="1" applyBorder="1" applyAlignment="1">
      <alignment horizontal="center" vertical="center" wrapText="1"/>
    </xf>
    <xf numFmtId="1" fontId="9" fillId="2" borderId="1" xfId="0" applyNumberFormat="1" applyFont="1" applyFill="1" applyBorder="1" applyAlignment="1">
      <alignment horizontal="center" vertical="center" wrapText="1"/>
    </xf>
    <xf numFmtId="0" fontId="12" fillId="0" borderId="0" xfId="0" applyNumberFormat="1" applyFont="1"/>
    <xf numFmtId="0" fontId="4" fillId="0" borderId="0" xfId="0" applyFont="1" applyAlignment="1"/>
    <xf numFmtId="0" fontId="3" fillId="0" borderId="0" xfId="0" applyNumberFormat="1" applyFont="1"/>
    <xf numFmtId="0" fontId="2" fillId="0" borderId="0" xfId="0" applyFont="1"/>
    <xf numFmtId="0" fontId="3" fillId="0" borderId="0" xfId="0" applyFont="1" applyAlignment="1">
      <alignment horizontal="center"/>
    </xf>
    <xf numFmtId="164" fontId="11" fillId="0" borderId="0" xfId="0" applyNumberFormat="1" applyFont="1" applyAlignment="1">
      <alignment horizontal="center" vertical="center"/>
    </xf>
    <xf numFmtId="0" fontId="6" fillId="4" borderId="4" xfId="0" applyNumberFormat="1" applyFont="1" applyFill="1" applyBorder="1" applyAlignment="1">
      <alignment horizontal="center" vertical="center"/>
    </xf>
    <xf numFmtId="0" fontId="6" fillId="4" borderId="1" xfId="0" applyNumberFormat="1" applyFont="1" applyFill="1" applyBorder="1" applyAlignment="1">
      <alignment horizontal="center" vertical="center"/>
    </xf>
    <xf numFmtId="0" fontId="6" fillId="4" borderId="3" xfId="0" applyNumberFormat="1" applyFont="1" applyFill="1" applyBorder="1" applyAlignment="1">
      <alignment horizontal="center" vertical="center"/>
    </xf>
    <xf numFmtId="164" fontId="1" fillId="0" borderId="0" xfId="0" applyNumberFormat="1" applyFont="1" applyAlignment="1">
      <alignment vertical="center"/>
    </xf>
    <xf numFmtId="167" fontId="1" fillId="4" borderId="0" xfId="0" applyNumberFormat="1" applyFont="1" applyFill="1" applyAlignment="1">
      <alignment horizontal="center" vertical="center"/>
    </xf>
    <xf numFmtId="168" fontId="1" fillId="4" borderId="0" xfId="0" applyNumberFormat="1" applyFont="1" applyFill="1" applyAlignment="1">
      <alignment horizontal="center" vertical="center"/>
    </xf>
    <xf numFmtId="169" fontId="1" fillId="4" borderId="0" xfId="0" applyNumberFormat="1" applyFont="1" applyFill="1" applyAlignment="1">
      <alignment horizontal="center" vertical="center"/>
    </xf>
    <xf numFmtId="165" fontId="4" fillId="0" borderId="0" xfId="0" applyNumberFormat="1" applyFont="1" applyFill="1" applyBorder="1" applyAlignment="1">
      <alignment horizontal="center" vertical="center" wrapText="1"/>
    </xf>
    <xf numFmtId="0" fontId="15" fillId="0" borderId="0" xfId="0" applyFont="1" applyAlignment="1"/>
    <xf numFmtId="0" fontId="6" fillId="4" borderId="6" xfId="0" applyNumberFormat="1" applyFont="1" applyFill="1" applyBorder="1" applyAlignment="1">
      <alignment horizontal="center" vertical="center"/>
    </xf>
    <xf numFmtId="0" fontId="4" fillId="0" borderId="8" xfId="0" applyFont="1" applyFill="1" applyBorder="1" applyAlignment="1">
      <alignment horizontal="center"/>
    </xf>
    <xf numFmtId="0" fontId="4" fillId="0" borderId="6" xfId="0" applyFont="1" applyFill="1" applyBorder="1" applyAlignment="1">
      <alignment horizontal="center" vertical="center"/>
    </xf>
    <xf numFmtId="1" fontId="4" fillId="2" borderId="6" xfId="0" applyNumberFormat="1" applyFont="1" applyFill="1" applyBorder="1" applyAlignment="1">
      <alignment horizontal="center" vertical="center" wrapText="1"/>
    </xf>
    <xf numFmtId="1" fontId="9" fillId="2" borderId="6" xfId="0" applyNumberFormat="1" applyFont="1" applyFill="1" applyBorder="1" applyAlignment="1">
      <alignment horizontal="center" vertical="center" wrapText="1"/>
    </xf>
    <xf numFmtId="49" fontId="10" fillId="0" borderId="6" xfId="0" applyNumberFormat="1" applyFont="1" applyBorder="1" applyAlignment="1">
      <alignment horizontal="center" vertical="center" wrapText="1"/>
    </xf>
    <xf numFmtId="0" fontId="7" fillId="4" borderId="6" xfId="0" applyFont="1" applyFill="1" applyBorder="1" applyAlignment="1">
      <alignment horizontal="center" vertical="center"/>
    </xf>
    <xf numFmtId="0" fontId="6" fillId="4" borderId="6" xfId="0" applyFont="1" applyFill="1" applyBorder="1" applyAlignment="1">
      <alignment horizontal="center" vertical="center"/>
    </xf>
    <xf numFmtId="0" fontId="7" fillId="4" borderId="9" xfId="0" applyFont="1" applyFill="1" applyBorder="1" applyAlignment="1">
      <alignment horizontal="center" vertical="center"/>
    </xf>
    <xf numFmtId="0" fontId="3" fillId="4" borderId="7" xfId="0" applyFont="1" applyFill="1" applyBorder="1" applyAlignment="1">
      <alignment horizontal="center" vertical="center"/>
    </xf>
    <xf numFmtId="0" fontId="3" fillId="3" borderId="10" xfId="0" applyFont="1" applyFill="1" applyBorder="1" applyAlignment="1">
      <alignment horizontal="center"/>
    </xf>
    <xf numFmtId="0" fontId="3" fillId="3" borderId="11" xfId="0" applyFont="1" applyFill="1" applyBorder="1" applyAlignment="1">
      <alignment horizontal="center" vertical="center"/>
    </xf>
    <xf numFmtId="0" fontId="3" fillId="3" borderId="11" xfId="0" applyFont="1" applyFill="1" applyBorder="1" applyAlignment="1">
      <alignment horizontal="center" vertical="center" wrapText="1"/>
    </xf>
    <xf numFmtId="0" fontId="9" fillId="3" borderId="11" xfId="0"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3" fillId="4" borderId="11" xfId="0" applyFont="1" applyFill="1" applyBorder="1" applyAlignment="1">
      <alignment horizontal="center" vertical="center"/>
    </xf>
    <xf numFmtId="0" fontId="3" fillId="4" borderId="12" xfId="0" applyFont="1" applyFill="1" applyBorder="1" applyAlignment="1">
      <alignment horizontal="center" vertical="center"/>
    </xf>
    <xf numFmtId="0" fontId="6" fillId="4" borderId="9" xfId="0" applyNumberFormat="1" applyFont="1" applyFill="1" applyBorder="1" applyAlignment="1">
      <alignment horizontal="center" vertical="center"/>
    </xf>
    <xf numFmtId="0" fontId="6" fillId="4" borderId="16" xfId="0" applyNumberFormat="1" applyFont="1" applyFill="1" applyBorder="1" applyAlignment="1">
      <alignment horizontal="center" vertical="center"/>
    </xf>
    <xf numFmtId="0" fontId="6" fillId="4" borderId="17" xfId="0" applyNumberFormat="1" applyFont="1" applyFill="1" applyBorder="1" applyAlignment="1">
      <alignment horizontal="center" vertical="center"/>
    </xf>
    <xf numFmtId="0" fontId="6" fillId="4" borderId="5" xfId="0" applyNumberFormat="1" applyFont="1" applyFill="1" applyBorder="1" applyAlignment="1">
      <alignment horizontal="center" vertical="center"/>
    </xf>
    <xf numFmtId="0" fontId="12" fillId="0" borderId="18" xfId="0" applyNumberFormat="1" applyFont="1" applyBorder="1"/>
    <xf numFmtId="0" fontId="4" fillId="0" borderId="18" xfId="0" applyFont="1" applyBorder="1" applyAlignment="1">
      <alignment horizontal="center"/>
    </xf>
    <xf numFmtId="0" fontId="4" fillId="0" borderId="18" xfId="0" applyFont="1" applyBorder="1" applyAlignment="1">
      <alignment horizontal="center" vertical="center"/>
    </xf>
    <xf numFmtId="0" fontId="10" fillId="0" borderId="18" xfId="0" applyFont="1" applyBorder="1" applyAlignment="1">
      <alignment horizontal="center" vertical="center"/>
    </xf>
    <xf numFmtId="49" fontId="10" fillId="0" borderId="18" xfId="0" applyNumberFormat="1" applyFont="1" applyBorder="1" applyAlignment="1">
      <alignment horizontal="center" vertical="center"/>
    </xf>
    <xf numFmtId="0" fontId="2" fillId="0" borderId="18" xfId="0" applyFont="1" applyFill="1" applyBorder="1" applyAlignment="1">
      <alignment horizontal="center" vertical="center"/>
    </xf>
    <xf numFmtId="0" fontId="8" fillId="0" borderId="18" xfId="0" applyFont="1" applyFill="1" applyBorder="1" applyAlignment="1">
      <alignment horizontal="center" vertical="center"/>
    </xf>
    <xf numFmtId="0" fontId="1" fillId="0" borderId="18" xfId="0" applyFont="1" applyBorder="1"/>
    <xf numFmtId="170" fontId="1" fillId="0" borderId="0" xfId="0" applyNumberFormat="1" applyFont="1"/>
    <xf numFmtId="0" fontId="3" fillId="4" borderId="13" xfId="0" applyFont="1" applyFill="1" applyBorder="1" applyAlignment="1">
      <alignment horizontal="left" vertical="center"/>
    </xf>
    <xf numFmtId="0" fontId="3" fillId="4" borderId="14" xfId="0" applyFont="1" applyFill="1" applyBorder="1" applyAlignment="1">
      <alignment horizontal="left" vertical="center"/>
    </xf>
    <xf numFmtId="0" fontId="3" fillId="4" borderId="15" xfId="0" applyFont="1" applyFill="1" applyBorder="1" applyAlignment="1">
      <alignment horizontal="left" vertical="center"/>
    </xf>
  </cellXfs>
  <cellStyles count="1">
    <cellStyle name="Normal" xfId="0" builtinId="0"/>
  </cellStyles>
  <dxfs count="4">
    <dxf>
      <font>
        <color theme="4" tint="-0.499984740745262"/>
      </font>
      <fill>
        <patternFill>
          <bgColor theme="4" tint="0.79998168889431442"/>
        </patternFill>
      </fill>
    </dxf>
    <dxf>
      <font>
        <color theme="4" tint="-0.499984740745262"/>
      </font>
      <fill>
        <patternFill>
          <bgColor theme="4" tint="0.79998168889431442"/>
        </patternFill>
      </fill>
    </dxf>
    <dxf>
      <font>
        <color theme="4" tint="-0.499984740745262"/>
      </font>
      <fill>
        <patternFill>
          <bgColor theme="4" tint="0.79998168889431442"/>
        </patternFill>
      </fill>
    </dxf>
    <dxf>
      <font>
        <color theme="4" tint="-0.499984740745262"/>
      </font>
      <fill>
        <patternFill>
          <bgColor theme="4" tint="0.79998168889431442"/>
        </patternFill>
      </fill>
    </dxf>
  </dxfs>
  <tableStyles count="0" defaultTableStyle="TableStyleMedium2" defaultPivotStyle="PivotStyleLight16"/>
  <colors>
    <mruColors>
      <color rgb="FFC0C0FF"/>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Drop" dropLines="2" dropStyle="combo" dx="26" fmlaLink="$A$1" fmlaRange="A36:A37" sel="1" val="0"/>
</file>

<file path=xl/ctrlProps/ctrlProp2.xml><?xml version="1.0" encoding="utf-8"?>
<formControlPr xmlns="http://schemas.microsoft.com/office/spreadsheetml/2009/9/main" objectType="CheckBox" checked="Checked" fmlaLink="R1" lockText="1" noThreeD="1"/>
</file>

<file path=xl/drawings/_rels/drawing1.xml.rels><?xml version="1.0" encoding="UTF-8" standalone="yes"?>
<Relationships xmlns="http://schemas.openxmlformats.org/package/2006/relationships"><Relationship Id="rId13" Type="http://schemas.openxmlformats.org/officeDocument/2006/relationships/image" Target="../media/image17.png"/><Relationship Id="rId18" Type="http://schemas.openxmlformats.org/officeDocument/2006/relationships/image" Target="../media/image22.png"/><Relationship Id="rId26" Type="http://schemas.openxmlformats.org/officeDocument/2006/relationships/image" Target="../media/image30.png"/><Relationship Id="rId3" Type="http://schemas.openxmlformats.org/officeDocument/2006/relationships/image" Target="../media/image7.png"/><Relationship Id="rId21" Type="http://schemas.openxmlformats.org/officeDocument/2006/relationships/image" Target="../media/image25.png"/><Relationship Id="rId7" Type="http://schemas.openxmlformats.org/officeDocument/2006/relationships/image" Target="../media/image11.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2" Type="http://schemas.openxmlformats.org/officeDocument/2006/relationships/image" Target="../media/image6.png"/><Relationship Id="rId16" Type="http://schemas.openxmlformats.org/officeDocument/2006/relationships/image" Target="../media/image20.png"/><Relationship Id="rId20" Type="http://schemas.openxmlformats.org/officeDocument/2006/relationships/image" Target="../media/image24.png"/><Relationship Id="rId29" Type="http://schemas.openxmlformats.org/officeDocument/2006/relationships/image" Target="../media/image33.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5" Type="http://schemas.openxmlformats.org/officeDocument/2006/relationships/image" Target="../media/image9.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10" Type="http://schemas.openxmlformats.org/officeDocument/2006/relationships/image" Target="../media/image14.png"/><Relationship Id="rId19" Type="http://schemas.openxmlformats.org/officeDocument/2006/relationships/image" Target="../media/image23.png"/><Relationship Id="rId31" Type="http://schemas.openxmlformats.org/officeDocument/2006/relationships/image" Target="../media/image35.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8"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0</xdr:row>
          <xdr:rowOff>0</xdr:rowOff>
        </xdr:from>
        <xdr:to>
          <xdr:col>16</xdr:col>
          <xdr:colOff>0</xdr:colOff>
          <xdr:row>1</xdr:row>
          <xdr:rowOff>0</xdr:rowOff>
        </xdr:to>
        <xdr:sp macro="" textlink="">
          <xdr:nvSpPr>
            <xdr:cNvPr id="1035" name="CheckBox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0</xdr:rowOff>
        </xdr:from>
        <xdr:to>
          <xdr:col>20</xdr:col>
          <xdr:colOff>0</xdr:colOff>
          <xdr:row>1</xdr:row>
          <xdr:rowOff>0</xdr:rowOff>
        </xdr:to>
        <xdr:sp macro="" textlink="">
          <xdr:nvSpPr>
            <xdr:cNvPr id="1069" name="CheckBox2"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0</xdr:col>
      <xdr:colOff>0</xdr:colOff>
      <xdr:row>1</xdr:row>
      <xdr:rowOff>0</xdr:rowOff>
    </xdr:from>
    <xdr:to>
      <xdr:col>0</xdr:col>
      <xdr:colOff>304800</xdr:colOff>
      <xdr:row>1</xdr:row>
      <xdr:rowOff>304800</xdr:rowOff>
    </xdr:to>
    <xdr:pic>
      <xdr:nvPicPr>
        <xdr:cNvPr id="6" name="图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20980"/>
          <a:ext cx="304800" cy="304800"/>
        </a:xfrm>
        <a:prstGeom prst="rect">
          <a:avLst/>
        </a:prstGeom>
      </xdr:spPr>
    </xdr:pic>
    <xdr:clientData/>
  </xdr:twoCellAnchor>
  <xdr:twoCellAnchor>
    <xdr:from>
      <xdr:col>0</xdr:col>
      <xdr:colOff>0</xdr:colOff>
      <xdr:row>2</xdr:row>
      <xdr:rowOff>0</xdr:rowOff>
    </xdr:from>
    <xdr:to>
      <xdr:col>0</xdr:col>
      <xdr:colOff>304800</xdr:colOff>
      <xdr:row>2</xdr:row>
      <xdr:rowOff>304800</xdr:rowOff>
    </xdr:to>
    <xdr:pic>
      <xdr:nvPicPr>
        <xdr:cNvPr id="8" name="图片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899160"/>
          <a:ext cx="304800" cy="304800"/>
        </a:xfrm>
        <a:prstGeom prst="rect">
          <a:avLst/>
        </a:prstGeom>
      </xdr:spPr>
    </xdr:pic>
    <xdr:clientData/>
  </xdr:twoCellAnchor>
  <xdr:twoCellAnchor>
    <xdr:from>
      <xdr:col>0</xdr:col>
      <xdr:colOff>0</xdr:colOff>
      <xdr:row>9</xdr:row>
      <xdr:rowOff>0</xdr:rowOff>
    </xdr:from>
    <xdr:to>
      <xdr:col>0</xdr:col>
      <xdr:colOff>304800</xdr:colOff>
      <xdr:row>9</xdr:row>
      <xdr:rowOff>304800</xdr:rowOff>
    </xdr:to>
    <xdr:pic>
      <xdr:nvPicPr>
        <xdr:cNvPr id="10" name="图片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686300"/>
          <a:ext cx="304800" cy="304800"/>
        </a:xfrm>
        <a:prstGeom prst="rect">
          <a:avLst/>
        </a:prstGeom>
      </xdr:spPr>
    </xdr:pic>
    <xdr:clientData/>
  </xdr:twoCellAnchor>
  <xdr:twoCellAnchor>
    <xdr:from>
      <xdr:col>0</xdr:col>
      <xdr:colOff>0</xdr:colOff>
      <xdr:row>28</xdr:row>
      <xdr:rowOff>0</xdr:rowOff>
    </xdr:from>
    <xdr:to>
      <xdr:col>0</xdr:col>
      <xdr:colOff>299258</xdr:colOff>
      <xdr:row>28</xdr:row>
      <xdr:rowOff>302722</xdr:rowOff>
    </xdr:to>
    <xdr:pic>
      <xdr:nvPicPr>
        <xdr:cNvPr id="12" name="图片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5849600"/>
          <a:ext cx="299258" cy="302722"/>
        </a:xfrm>
        <a:prstGeom prst="rect">
          <a:avLst/>
        </a:prstGeom>
      </xdr:spPr>
    </xdr:pic>
    <xdr:clientData/>
  </xdr:twoCellAnchor>
  <xdr:twoCellAnchor>
    <xdr:from>
      <xdr:col>0</xdr:col>
      <xdr:colOff>0</xdr:colOff>
      <xdr:row>3</xdr:row>
      <xdr:rowOff>0</xdr:rowOff>
    </xdr:from>
    <xdr:to>
      <xdr:col>0</xdr:col>
      <xdr:colOff>304800</xdr:colOff>
      <xdr:row>3</xdr:row>
      <xdr:rowOff>304800</xdr:rowOff>
    </xdr:to>
    <xdr:pic>
      <xdr:nvPicPr>
        <xdr:cNvPr id="14" name="图片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577340"/>
          <a:ext cx="304800" cy="304800"/>
        </a:xfrm>
        <a:prstGeom prst="rect">
          <a:avLst/>
        </a:prstGeom>
      </xdr:spPr>
    </xdr:pic>
    <xdr:clientData/>
  </xdr:twoCellAnchor>
  <xdr:twoCellAnchor>
    <xdr:from>
      <xdr:col>0</xdr:col>
      <xdr:colOff>0</xdr:colOff>
      <xdr:row>10</xdr:row>
      <xdr:rowOff>0</xdr:rowOff>
    </xdr:from>
    <xdr:to>
      <xdr:col>0</xdr:col>
      <xdr:colOff>304800</xdr:colOff>
      <xdr:row>10</xdr:row>
      <xdr:rowOff>304800</xdr:rowOff>
    </xdr:to>
    <xdr:pic>
      <xdr:nvPicPr>
        <xdr:cNvPr id="16" name="图片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5364480"/>
          <a:ext cx="304800" cy="304800"/>
        </a:xfrm>
        <a:prstGeom prst="rect">
          <a:avLst/>
        </a:prstGeom>
      </xdr:spPr>
    </xdr:pic>
    <xdr:clientData/>
  </xdr:twoCellAnchor>
  <xdr:twoCellAnchor>
    <xdr:from>
      <xdr:col>0</xdr:col>
      <xdr:colOff>0</xdr:colOff>
      <xdr:row>29</xdr:row>
      <xdr:rowOff>0</xdr:rowOff>
    </xdr:from>
    <xdr:to>
      <xdr:col>0</xdr:col>
      <xdr:colOff>304800</xdr:colOff>
      <xdr:row>29</xdr:row>
      <xdr:rowOff>306878</xdr:rowOff>
    </xdr:to>
    <xdr:pic>
      <xdr:nvPicPr>
        <xdr:cNvPr id="18" name="图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16362218"/>
          <a:ext cx="304800" cy="306878"/>
        </a:xfrm>
        <a:prstGeom prst="rect">
          <a:avLst/>
        </a:prstGeom>
      </xdr:spPr>
    </xdr:pic>
    <xdr:clientData/>
  </xdr:twoCellAnchor>
  <xdr:twoCellAnchor>
    <xdr:from>
      <xdr:col>0</xdr:col>
      <xdr:colOff>0</xdr:colOff>
      <xdr:row>16</xdr:row>
      <xdr:rowOff>0</xdr:rowOff>
    </xdr:from>
    <xdr:to>
      <xdr:col>0</xdr:col>
      <xdr:colOff>299258</xdr:colOff>
      <xdr:row>16</xdr:row>
      <xdr:rowOff>302029</xdr:rowOff>
    </xdr:to>
    <xdr:pic>
      <xdr:nvPicPr>
        <xdr:cNvPr id="20" name="图片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0" y="9116291"/>
          <a:ext cx="299258" cy="302722"/>
        </a:xfrm>
        <a:prstGeom prst="rect">
          <a:avLst/>
        </a:prstGeom>
      </xdr:spPr>
    </xdr:pic>
    <xdr:clientData/>
  </xdr:twoCellAnchor>
  <xdr:twoCellAnchor>
    <xdr:from>
      <xdr:col>0</xdr:col>
      <xdr:colOff>0</xdr:colOff>
      <xdr:row>5</xdr:row>
      <xdr:rowOff>0</xdr:rowOff>
    </xdr:from>
    <xdr:to>
      <xdr:col>0</xdr:col>
      <xdr:colOff>304800</xdr:colOff>
      <xdr:row>5</xdr:row>
      <xdr:rowOff>304800</xdr:rowOff>
    </xdr:to>
    <xdr:pic>
      <xdr:nvPicPr>
        <xdr:cNvPr id="22" name="图片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3101340"/>
          <a:ext cx="304800" cy="304800"/>
        </a:xfrm>
        <a:prstGeom prst="rect">
          <a:avLst/>
        </a:prstGeom>
      </xdr:spPr>
    </xdr:pic>
    <xdr:clientData/>
  </xdr:twoCellAnchor>
  <xdr:twoCellAnchor>
    <xdr:from>
      <xdr:col>0</xdr:col>
      <xdr:colOff>0</xdr:colOff>
      <xdr:row>6</xdr:row>
      <xdr:rowOff>0</xdr:rowOff>
    </xdr:from>
    <xdr:to>
      <xdr:col>0</xdr:col>
      <xdr:colOff>304800</xdr:colOff>
      <xdr:row>6</xdr:row>
      <xdr:rowOff>304800</xdr:rowOff>
    </xdr:to>
    <xdr:pic>
      <xdr:nvPicPr>
        <xdr:cNvPr id="24" name="图片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0" y="3268980"/>
          <a:ext cx="304800" cy="304800"/>
        </a:xfrm>
        <a:prstGeom prst="rect">
          <a:avLst/>
        </a:prstGeom>
      </xdr:spPr>
    </xdr:pic>
    <xdr:clientData/>
  </xdr:twoCellAnchor>
  <xdr:twoCellAnchor>
    <xdr:from>
      <xdr:col>0</xdr:col>
      <xdr:colOff>0</xdr:colOff>
      <xdr:row>8</xdr:row>
      <xdr:rowOff>0</xdr:rowOff>
    </xdr:from>
    <xdr:to>
      <xdr:col>0</xdr:col>
      <xdr:colOff>304800</xdr:colOff>
      <xdr:row>8</xdr:row>
      <xdr:rowOff>304800</xdr:rowOff>
    </xdr:to>
    <xdr:pic>
      <xdr:nvPicPr>
        <xdr:cNvPr id="26" name="图片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0" y="4465320"/>
          <a:ext cx="304800" cy="304800"/>
        </a:xfrm>
        <a:prstGeom prst="rect">
          <a:avLst/>
        </a:prstGeom>
      </xdr:spPr>
    </xdr:pic>
    <xdr:clientData/>
  </xdr:twoCellAnchor>
  <xdr:twoCellAnchor>
    <xdr:from>
      <xdr:col>0</xdr:col>
      <xdr:colOff>0</xdr:colOff>
      <xdr:row>18</xdr:row>
      <xdr:rowOff>0</xdr:rowOff>
    </xdr:from>
    <xdr:to>
      <xdr:col>0</xdr:col>
      <xdr:colOff>299258</xdr:colOff>
      <xdr:row>18</xdr:row>
      <xdr:rowOff>305493</xdr:rowOff>
    </xdr:to>
    <xdr:pic>
      <xdr:nvPicPr>
        <xdr:cNvPr id="28" name="图片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0" y="9850582"/>
          <a:ext cx="299258" cy="305493"/>
        </a:xfrm>
        <a:prstGeom prst="rect">
          <a:avLst/>
        </a:prstGeom>
      </xdr:spPr>
    </xdr:pic>
    <xdr:clientData/>
  </xdr:twoCellAnchor>
  <xdr:twoCellAnchor>
    <xdr:from>
      <xdr:col>0</xdr:col>
      <xdr:colOff>0</xdr:colOff>
      <xdr:row>12</xdr:row>
      <xdr:rowOff>0</xdr:rowOff>
    </xdr:from>
    <xdr:to>
      <xdr:col>0</xdr:col>
      <xdr:colOff>299258</xdr:colOff>
      <xdr:row>12</xdr:row>
      <xdr:rowOff>306879</xdr:rowOff>
    </xdr:to>
    <xdr:pic>
      <xdr:nvPicPr>
        <xdr:cNvPr id="30" name="图片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0" y="6899564"/>
          <a:ext cx="299258" cy="306879"/>
        </a:xfrm>
        <a:prstGeom prst="rect">
          <a:avLst/>
        </a:prstGeom>
      </xdr:spPr>
    </xdr:pic>
    <xdr:clientData/>
  </xdr:twoCellAnchor>
  <xdr:twoCellAnchor>
    <xdr:from>
      <xdr:col>0</xdr:col>
      <xdr:colOff>0</xdr:colOff>
      <xdr:row>13</xdr:row>
      <xdr:rowOff>0</xdr:rowOff>
    </xdr:from>
    <xdr:to>
      <xdr:col>0</xdr:col>
      <xdr:colOff>304800</xdr:colOff>
      <xdr:row>13</xdr:row>
      <xdr:rowOff>304800</xdr:rowOff>
    </xdr:to>
    <xdr:pic>
      <xdr:nvPicPr>
        <xdr:cNvPr id="32" name="图片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0" y="7744691"/>
          <a:ext cx="304800" cy="304800"/>
        </a:xfrm>
        <a:prstGeom prst="rect">
          <a:avLst/>
        </a:prstGeom>
      </xdr:spPr>
    </xdr:pic>
    <xdr:clientData/>
  </xdr:twoCellAnchor>
  <xdr:twoCellAnchor>
    <xdr:from>
      <xdr:col>0</xdr:col>
      <xdr:colOff>0</xdr:colOff>
      <xdr:row>14</xdr:row>
      <xdr:rowOff>0</xdr:rowOff>
    </xdr:from>
    <xdr:to>
      <xdr:col>0</xdr:col>
      <xdr:colOff>304800</xdr:colOff>
      <xdr:row>14</xdr:row>
      <xdr:rowOff>304800</xdr:rowOff>
    </xdr:to>
    <xdr:pic>
      <xdr:nvPicPr>
        <xdr:cNvPr id="34" name="图片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0" y="8423564"/>
          <a:ext cx="304800" cy="304800"/>
        </a:xfrm>
        <a:prstGeom prst="rect">
          <a:avLst/>
        </a:prstGeom>
      </xdr:spPr>
    </xdr:pic>
    <xdr:clientData/>
  </xdr:twoCellAnchor>
  <xdr:twoCellAnchor>
    <xdr:from>
      <xdr:col>0</xdr:col>
      <xdr:colOff>0</xdr:colOff>
      <xdr:row>20</xdr:row>
      <xdr:rowOff>0</xdr:rowOff>
    </xdr:from>
    <xdr:to>
      <xdr:col>0</xdr:col>
      <xdr:colOff>299258</xdr:colOff>
      <xdr:row>20</xdr:row>
      <xdr:rowOff>304800</xdr:rowOff>
    </xdr:to>
    <xdr:pic>
      <xdr:nvPicPr>
        <xdr:cNvPr id="36" name="图片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0" y="11374582"/>
          <a:ext cx="299258" cy="304800"/>
        </a:xfrm>
        <a:prstGeom prst="rect">
          <a:avLst/>
        </a:prstGeom>
      </xdr:spPr>
    </xdr:pic>
    <xdr:clientData/>
  </xdr:twoCellAnchor>
  <xdr:twoCellAnchor>
    <xdr:from>
      <xdr:col>0</xdr:col>
      <xdr:colOff>0</xdr:colOff>
      <xdr:row>4</xdr:row>
      <xdr:rowOff>0</xdr:rowOff>
    </xdr:from>
    <xdr:to>
      <xdr:col>0</xdr:col>
      <xdr:colOff>304800</xdr:colOff>
      <xdr:row>4</xdr:row>
      <xdr:rowOff>304800</xdr:rowOff>
    </xdr:to>
    <xdr:pic>
      <xdr:nvPicPr>
        <xdr:cNvPr id="38" name="图片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0" y="2590800"/>
          <a:ext cx="304800" cy="304800"/>
        </a:xfrm>
        <a:prstGeom prst="rect">
          <a:avLst/>
        </a:prstGeom>
      </xdr:spPr>
    </xdr:pic>
    <xdr:clientData/>
  </xdr:twoCellAnchor>
  <xdr:twoCellAnchor>
    <xdr:from>
      <xdr:col>0</xdr:col>
      <xdr:colOff>0</xdr:colOff>
      <xdr:row>11</xdr:row>
      <xdr:rowOff>0</xdr:rowOff>
    </xdr:from>
    <xdr:to>
      <xdr:col>0</xdr:col>
      <xdr:colOff>304800</xdr:colOff>
      <xdr:row>11</xdr:row>
      <xdr:rowOff>304800</xdr:rowOff>
    </xdr:to>
    <xdr:pic>
      <xdr:nvPicPr>
        <xdr:cNvPr id="40" name="图片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0" y="6316980"/>
          <a:ext cx="304800" cy="304800"/>
        </a:xfrm>
        <a:prstGeom prst="rect">
          <a:avLst/>
        </a:prstGeom>
      </xdr:spPr>
    </xdr:pic>
    <xdr:clientData/>
  </xdr:twoCellAnchor>
  <xdr:twoCellAnchor>
    <xdr:from>
      <xdr:col>0</xdr:col>
      <xdr:colOff>0</xdr:colOff>
      <xdr:row>26</xdr:row>
      <xdr:rowOff>0</xdr:rowOff>
    </xdr:from>
    <xdr:to>
      <xdr:col>0</xdr:col>
      <xdr:colOff>304800</xdr:colOff>
      <xdr:row>26</xdr:row>
      <xdr:rowOff>302722</xdr:rowOff>
    </xdr:to>
    <xdr:pic>
      <xdr:nvPicPr>
        <xdr:cNvPr id="42" name="图片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0" y="14658109"/>
          <a:ext cx="304800" cy="302722"/>
        </a:xfrm>
        <a:prstGeom prst="rect">
          <a:avLst/>
        </a:prstGeom>
      </xdr:spPr>
    </xdr:pic>
    <xdr:clientData/>
  </xdr:twoCellAnchor>
  <xdr:twoCellAnchor>
    <xdr:from>
      <xdr:col>0</xdr:col>
      <xdr:colOff>0</xdr:colOff>
      <xdr:row>27</xdr:row>
      <xdr:rowOff>0</xdr:rowOff>
    </xdr:from>
    <xdr:to>
      <xdr:col>0</xdr:col>
      <xdr:colOff>304800</xdr:colOff>
      <xdr:row>27</xdr:row>
      <xdr:rowOff>302722</xdr:rowOff>
    </xdr:to>
    <xdr:pic>
      <xdr:nvPicPr>
        <xdr:cNvPr id="44" name="图片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0" y="15170727"/>
          <a:ext cx="304800" cy="302722"/>
        </a:xfrm>
        <a:prstGeom prst="rect">
          <a:avLst/>
        </a:prstGeom>
      </xdr:spPr>
    </xdr:pic>
    <xdr:clientData/>
  </xdr:twoCellAnchor>
  <xdr:twoCellAnchor>
    <xdr:from>
      <xdr:col>0</xdr:col>
      <xdr:colOff>0</xdr:colOff>
      <xdr:row>7</xdr:row>
      <xdr:rowOff>0</xdr:rowOff>
    </xdr:from>
    <xdr:to>
      <xdr:col>0</xdr:col>
      <xdr:colOff>304800</xdr:colOff>
      <xdr:row>7</xdr:row>
      <xdr:rowOff>304800</xdr:rowOff>
    </xdr:to>
    <xdr:pic>
      <xdr:nvPicPr>
        <xdr:cNvPr id="46" name="图片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0" y="3878580"/>
          <a:ext cx="304800" cy="304800"/>
        </a:xfrm>
        <a:prstGeom prst="rect">
          <a:avLst/>
        </a:prstGeom>
      </xdr:spPr>
    </xdr:pic>
    <xdr:clientData/>
  </xdr:twoCellAnchor>
  <xdr:twoCellAnchor>
    <xdr:from>
      <xdr:col>0</xdr:col>
      <xdr:colOff>0</xdr:colOff>
      <xdr:row>21</xdr:row>
      <xdr:rowOff>0</xdr:rowOff>
    </xdr:from>
    <xdr:to>
      <xdr:col>0</xdr:col>
      <xdr:colOff>299259</xdr:colOff>
      <xdr:row>21</xdr:row>
      <xdr:rowOff>306878</xdr:rowOff>
    </xdr:to>
    <xdr:pic>
      <xdr:nvPicPr>
        <xdr:cNvPr id="48" name="图片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0" y="12219709"/>
          <a:ext cx="299259" cy="306878"/>
        </a:xfrm>
        <a:prstGeom prst="rect">
          <a:avLst/>
        </a:prstGeom>
      </xdr:spPr>
    </xdr:pic>
    <xdr:clientData/>
  </xdr:twoCellAnchor>
  <xdr:twoCellAnchor>
    <xdr:from>
      <xdr:col>0</xdr:col>
      <xdr:colOff>0</xdr:colOff>
      <xdr:row>32</xdr:row>
      <xdr:rowOff>39486</xdr:rowOff>
    </xdr:from>
    <xdr:to>
      <xdr:col>0</xdr:col>
      <xdr:colOff>304800</xdr:colOff>
      <xdr:row>32</xdr:row>
      <xdr:rowOff>342900</xdr:rowOff>
    </xdr:to>
    <xdr:pic>
      <xdr:nvPicPr>
        <xdr:cNvPr id="50" name="图片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0" y="17773304"/>
          <a:ext cx="304800" cy="306878"/>
        </a:xfrm>
        <a:prstGeom prst="rect">
          <a:avLst/>
        </a:prstGeom>
      </xdr:spPr>
    </xdr:pic>
    <xdr:clientData/>
  </xdr:twoCellAnchor>
  <xdr:twoCellAnchor>
    <xdr:from>
      <xdr:col>0</xdr:col>
      <xdr:colOff>0</xdr:colOff>
      <xdr:row>22</xdr:row>
      <xdr:rowOff>0</xdr:rowOff>
    </xdr:from>
    <xdr:to>
      <xdr:col>0</xdr:col>
      <xdr:colOff>304800</xdr:colOff>
      <xdr:row>22</xdr:row>
      <xdr:rowOff>304800</xdr:rowOff>
    </xdr:to>
    <xdr:pic>
      <xdr:nvPicPr>
        <xdr:cNvPr id="52" name="图片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0" y="12566073"/>
          <a:ext cx="304800" cy="304800"/>
        </a:xfrm>
        <a:prstGeom prst="rect">
          <a:avLst/>
        </a:prstGeom>
      </xdr:spPr>
    </xdr:pic>
    <xdr:clientData/>
  </xdr:twoCellAnchor>
  <xdr:twoCellAnchor>
    <xdr:from>
      <xdr:col>0</xdr:col>
      <xdr:colOff>0</xdr:colOff>
      <xdr:row>19</xdr:row>
      <xdr:rowOff>0</xdr:rowOff>
    </xdr:from>
    <xdr:to>
      <xdr:col>0</xdr:col>
      <xdr:colOff>299258</xdr:colOff>
      <xdr:row>19</xdr:row>
      <xdr:rowOff>304800</xdr:rowOff>
    </xdr:to>
    <xdr:pic>
      <xdr:nvPicPr>
        <xdr:cNvPr id="54" name="图片 53">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0" y="10529455"/>
          <a:ext cx="299258" cy="304800"/>
        </a:xfrm>
        <a:prstGeom prst="rect">
          <a:avLst/>
        </a:prstGeom>
      </xdr:spPr>
    </xdr:pic>
    <xdr:clientData/>
  </xdr:twoCellAnchor>
  <xdr:twoCellAnchor>
    <xdr:from>
      <xdr:col>0</xdr:col>
      <xdr:colOff>0</xdr:colOff>
      <xdr:row>25</xdr:row>
      <xdr:rowOff>0</xdr:rowOff>
    </xdr:from>
    <xdr:to>
      <xdr:col>0</xdr:col>
      <xdr:colOff>299258</xdr:colOff>
      <xdr:row>25</xdr:row>
      <xdr:rowOff>306878</xdr:rowOff>
    </xdr:to>
    <xdr:pic>
      <xdr:nvPicPr>
        <xdr:cNvPr id="56" name="图片 55">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0" y="14311745"/>
          <a:ext cx="299258" cy="306878"/>
        </a:xfrm>
        <a:prstGeom prst="rect">
          <a:avLst/>
        </a:prstGeom>
      </xdr:spPr>
    </xdr:pic>
    <xdr:clientData/>
  </xdr:twoCellAnchor>
  <xdr:twoCellAnchor>
    <xdr:from>
      <xdr:col>0</xdr:col>
      <xdr:colOff>0</xdr:colOff>
      <xdr:row>24</xdr:row>
      <xdr:rowOff>0</xdr:rowOff>
    </xdr:from>
    <xdr:to>
      <xdr:col>0</xdr:col>
      <xdr:colOff>304800</xdr:colOff>
      <xdr:row>24</xdr:row>
      <xdr:rowOff>306878</xdr:rowOff>
    </xdr:to>
    <xdr:pic>
      <xdr:nvPicPr>
        <xdr:cNvPr id="58" name="图片 57">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0" y="13632873"/>
          <a:ext cx="304800" cy="306878"/>
        </a:xfrm>
        <a:prstGeom prst="rect">
          <a:avLst/>
        </a:prstGeom>
      </xdr:spPr>
    </xdr:pic>
    <xdr:clientData/>
  </xdr:twoCellAnchor>
  <xdr:twoCellAnchor>
    <xdr:from>
      <xdr:col>0</xdr:col>
      <xdr:colOff>0</xdr:colOff>
      <xdr:row>30</xdr:row>
      <xdr:rowOff>0</xdr:rowOff>
    </xdr:from>
    <xdr:to>
      <xdr:col>0</xdr:col>
      <xdr:colOff>304800</xdr:colOff>
      <xdr:row>30</xdr:row>
      <xdr:rowOff>304800</xdr:rowOff>
    </xdr:to>
    <xdr:pic>
      <xdr:nvPicPr>
        <xdr:cNvPr id="60" name="图片 59">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0" y="16874836"/>
          <a:ext cx="304800" cy="304800"/>
        </a:xfrm>
        <a:prstGeom prst="rect">
          <a:avLst/>
        </a:prstGeom>
      </xdr:spPr>
    </xdr:pic>
    <xdr:clientData/>
  </xdr:twoCellAnchor>
  <xdr:twoCellAnchor>
    <xdr:from>
      <xdr:col>0</xdr:col>
      <xdr:colOff>0</xdr:colOff>
      <xdr:row>33</xdr:row>
      <xdr:rowOff>0</xdr:rowOff>
    </xdr:from>
    <xdr:to>
      <xdr:col>0</xdr:col>
      <xdr:colOff>304800</xdr:colOff>
      <xdr:row>33</xdr:row>
      <xdr:rowOff>306879</xdr:rowOff>
    </xdr:to>
    <xdr:pic>
      <xdr:nvPicPr>
        <xdr:cNvPr id="62" name="图片 61">
          <a:extLst>
            <a:ext uri="{FF2B5EF4-FFF2-40B4-BE49-F238E27FC236}">
              <a16:creationId xmlns:a16="http://schemas.microsoft.com/office/drawing/2014/main" id="{00000000-0008-0000-0000-00003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0" y="18080182"/>
          <a:ext cx="304800" cy="306879"/>
        </a:xfrm>
        <a:prstGeom prst="rect">
          <a:avLst/>
        </a:prstGeom>
      </xdr:spPr>
    </xdr:pic>
    <xdr:clientData/>
  </xdr:twoCellAnchor>
  <xdr:twoCellAnchor>
    <xdr:from>
      <xdr:col>0</xdr:col>
      <xdr:colOff>0</xdr:colOff>
      <xdr:row>31</xdr:row>
      <xdr:rowOff>0</xdr:rowOff>
    </xdr:from>
    <xdr:to>
      <xdr:col>0</xdr:col>
      <xdr:colOff>299258</xdr:colOff>
      <xdr:row>31</xdr:row>
      <xdr:rowOff>306879</xdr:rowOff>
    </xdr:to>
    <xdr:pic>
      <xdr:nvPicPr>
        <xdr:cNvPr id="64" name="图片 63">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0" y="17221200"/>
          <a:ext cx="299258" cy="306879"/>
        </a:xfrm>
        <a:prstGeom prst="rect">
          <a:avLst/>
        </a:prstGeom>
      </xdr:spPr>
    </xdr:pic>
    <xdr:clientData/>
  </xdr:twoCellAnchor>
  <xdr:twoCellAnchor>
    <xdr:from>
      <xdr:col>0</xdr:col>
      <xdr:colOff>0</xdr:colOff>
      <xdr:row>17</xdr:row>
      <xdr:rowOff>0</xdr:rowOff>
    </xdr:from>
    <xdr:to>
      <xdr:col>0</xdr:col>
      <xdr:colOff>299258</xdr:colOff>
      <xdr:row>17</xdr:row>
      <xdr:rowOff>308263</xdr:rowOff>
    </xdr:to>
    <xdr:pic>
      <xdr:nvPicPr>
        <xdr:cNvPr id="66" name="图片 65">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0" y="9337964"/>
          <a:ext cx="299258" cy="308263"/>
        </a:xfrm>
        <a:prstGeom prst="rect">
          <a:avLst/>
        </a:prstGeom>
      </xdr:spPr>
    </xdr:pic>
    <xdr:clientData/>
  </xdr:twoCellAnchor>
  <xdr:twoCellAnchor>
    <xdr:from>
      <xdr:col>0</xdr:col>
      <xdr:colOff>0</xdr:colOff>
      <xdr:row>23</xdr:row>
      <xdr:rowOff>0</xdr:rowOff>
    </xdr:from>
    <xdr:to>
      <xdr:col>0</xdr:col>
      <xdr:colOff>304800</xdr:colOff>
      <xdr:row>23</xdr:row>
      <xdr:rowOff>307570</xdr:rowOff>
    </xdr:to>
    <xdr:pic>
      <xdr:nvPicPr>
        <xdr:cNvPr id="68" name="图片 67">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0" y="13411200"/>
          <a:ext cx="304800" cy="308263"/>
        </a:xfrm>
        <a:prstGeom prst="rect">
          <a:avLst/>
        </a:prstGeom>
      </xdr:spPr>
    </xdr:pic>
    <xdr:clientData/>
  </xdr:twoCellAnchor>
  <xdr:twoCellAnchor>
    <xdr:from>
      <xdr:col>0</xdr:col>
      <xdr:colOff>0</xdr:colOff>
      <xdr:row>15</xdr:row>
      <xdr:rowOff>0</xdr:rowOff>
    </xdr:from>
    <xdr:to>
      <xdr:col>0</xdr:col>
      <xdr:colOff>304800</xdr:colOff>
      <xdr:row>15</xdr:row>
      <xdr:rowOff>305493</xdr:rowOff>
    </xdr:to>
    <xdr:pic>
      <xdr:nvPicPr>
        <xdr:cNvPr id="70" name="图片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0" y="8769927"/>
          <a:ext cx="304800" cy="30549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14</xdr:col>
          <xdr:colOff>0</xdr:colOff>
          <xdr:row>0</xdr:row>
          <xdr:rowOff>0</xdr:rowOff>
        </xdr:from>
        <xdr:to>
          <xdr:col>15</xdr:col>
          <xdr:colOff>0</xdr:colOff>
          <xdr:row>1</xdr:row>
          <xdr:rowOff>0</xdr:rowOff>
        </xdr:to>
        <xdr:sp macro="" textlink="">
          <xdr:nvSpPr>
            <xdr:cNvPr id="1034" name="CommandButton1"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542925</xdr:colOff>
          <xdr:row>0</xdr:row>
          <xdr:rowOff>0</xdr:rowOff>
        </xdr:from>
        <xdr:to>
          <xdr:col>31</xdr:col>
          <xdr:colOff>676275</xdr:colOff>
          <xdr:row>1</xdr:row>
          <xdr:rowOff>0</xdr:rowOff>
        </xdr:to>
        <xdr:sp macro="" textlink="">
          <xdr:nvSpPr>
            <xdr:cNvPr id="1071" name="SpinButton1"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0</xdr:row>
          <xdr:rowOff>200025</xdr:rowOff>
        </xdr:to>
        <xdr:sp macro="" textlink="">
          <xdr:nvSpPr>
            <xdr:cNvPr id="1073" name="Round"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20</xdr:col>
          <xdr:colOff>733425</xdr:colOff>
          <xdr:row>1</xdr:row>
          <xdr:rowOff>0</xdr:rowOff>
        </xdr:to>
        <xdr:sp macro="" textlink="">
          <xdr:nvSpPr>
            <xdr:cNvPr id="1075" name="44Analysis"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C0C0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44Analysis</a:t>
              </a:r>
            </a:p>
          </xdr:txBody>
        </xdr:sp>
        <xdr:clientData/>
      </xdr:twoCellAnchor>
    </mc:Choice>
    <mc:Fallback/>
  </mc:AlternateContent>
  <xdr:twoCellAnchor>
    <xdr:from>
      <xdr:col>21</xdr:col>
      <xdr:colOff>0</xdr:colOff>
      <xdr:row>0</xdr:row>
      <xdr:rowOff>0</xdr:rowOff>
    </xdr:from>
    <xdr:to>
      <xdr:col>21</xdr:col>
      <xdr:colOff>740664</xdr:colOff>
      <xdr:row>1</xdr:row>
      <xdr:rowOff>0</xdr:rowOff>
    </xdr:to>
    <xdr:sp macro="[0]!Sheet1.SetU1" textlink="">
      <xdr:nvSpPr>
        <xdr:cNvPr id="41" name="Rectangle 40">
          <a:extLst>
            <a:ext uri="{FF2B5EF4-FFF2-40B4-BE49-F238E27FC236}">
              <a16:creationId xmlns:a16="http://schemas.microsoft.com/office/drawing/2014/main" id="{00000000-0008-0000-0000-000029000000}"/>
            </a:ext>
          </a:extLst>
        </xdr:cNvPr>
        <xdr:cNvSpPr/>
      </xdr:nvSpPr>
      <xdr:spPr>
        <a:xfrm>
          <a:off x="10858500" y="0"/>
          <a:ext cx="740664" cy="219075"/>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0</xdr:colOff>
      <xdr:row>0</xdr:row>
      <xdr:rowOff>0</xdr:rowOff>
    </xdr:from>
    <xdr:to>
      <xdr:col>23</xdr:col>
      <xdr:colOff>740664</xdr:colOff>
      <xdr:row>1</xdr:row>
      <xdr:rowOff>0</xdr:rowOff>
    </xdr:to>
    <xdr:sp macro="[0]!Sheet1.SetW1" textlink="">
      <xdr:nvSpPr>
        <xdr:cNvPr id="43" name="Rectangle 42">
          <a:extLst>
            <a:ext uri="{FF2B5EF4-FFF2-40B4-BE49-F238E27FC236}">
              <a16:creationId xmlns:a16="http://schemas.microsoft.com/office/drawing/2014/main" id="{00000000-0008-0000-0000-00002B000000}"/>
            </a:ext>
          </a:extLst>
        </xdr:cNvPr>
        <xdr:cNvSpPr/>
      </xdr:nvSpPr>
      <xdr:spPr>
        <a:xfrm>
          <a:off x="12363450" y="0"/>
          <a:ext cx="740664" cy="219075"/>
        </a:xfrm>
        <a:prstGeom prst="rect">
          <a:avLst/>
        </a:prstGeom>
        <a:solidFill>
          <a:srgbClr val="FFFFFF">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C3F5C-407D-49C2-803A-6CB092D11907}">
  <sheetPr codeName="Sheet1"/>
  <dimension ref="A1:AG49"/>
  <sheetViews>
    <sheetView tabSelected="1" zoomScaleNormal="100" workbookViewId="0">
      <pane xSplit="1" ySplit="1" topLeftCell="B2" activePane="bottomRight" state="frozen"/>
      <selection pane="topRight" activeCell="B1" sqref="B1"/>
      <selection pane="bottomLeft" activeCell="A2" sqref="A2"/>
      <selection pane="bottomRight"/>
    </sheetView>
  </sheetViews>
  <sheetFormatPr defaultColWidth="8.77734375" defaultRowHeight="14.25" x14ac:dyDescent="0.2"/>
  <cols>
    <col min="1" max="1" width="4.6640625" style="2" customWidth="1"/>
    <col min="2" max="2" width="16.6640625" style="2" customWidth="1"/>
    <col min="3" max="5" width="6.6640625" style="3" customWidth="1"/>
    <col min="6" max="6" width="6.6640625" style="19" customWidth="1"/>
    <col min="7" max="7" width="12.21875" style="20" hidden="1" customWidth="1"/>
    <col min="8" max="8" width="6.6640625" style="16" customWidth="1"/>
    <col min="9" max="9" width="6.6640625" style="17" customWidth="1"/>
    <col min="10" max="10" width="6.6640625" style="16" customWidth="1"/>
    <col min="11" max="14" width="6.6640625" style="17" customWidth="1"/>
    <col min="15" max="15" width="6.6640625" style="1" customWidth="1"/>
    <col min="16" max="16" width="8.77734375" style="1"/>
    <col min="17" max="17" width="7.77734375" style="1" customWidth="1"/>
    <col min="18" max="20" width="8.77734375" style="1" hidden="1" customWidth="1"/>
    <col min="21" max="24" width="8.77734375" style="1"/>
    <col min="25" max="26" width="8.77734375" style="1" customWidth="1"/>
    <col min="27" max="31" width="8.77734375" style="1"/>
    <col min="32" max="32" width="8.33203125" style="1" customWidth="1"/>
    <col min="33" max="16384" width="8.77734375" style="1"/>
  </cols>
  <sheetData>
    <row r="1" spans="1:33" ht="17.45" customHeight="1" thickBot="1" x14ac:dyDescent="0.25">
      <c r="A1" s="50">
        <v>1</v>
      </c>
      <c r="B1" s="51" t="s">
        <v>0</v>
      </c>
      <c r="C1" s="52" t="s">
        <v>1</v>
      </c>
      <c r="D1" s="52" t="s">
        <v>2</v>
      </c>
      <c r="E1" s="51" t="s">
        <v>3</v>
      </c>
      <c r="F1" s="53" t="s">
        <v>4</v>
      </c>
      <c r="G1" s="54" t="s">
        <v>65</v>
      </c>
      <c r="H1" s="55" t="s">
        <v>68</v>
      </c>
      <c r="I1" s="55" t="s">
        <v>69</v>
      </c>
      <c r="J1" s="56" t="s">
        <v>67</v>
      </c>
      <c r="K1" s="49" t="s">
        <v>90</v>
      </c>
      <c r="L1" s="70" t="s">
        <v>89</v>
      </c>
      <c r="M1" s="71"/>
      <c r="N1" s="71"/>
      <c r="O1" s="72"/>
      <c r="R1" s="34" t="b">
        <v>1</v>
      </c>
      <c r="S1" s="35">
        <v>1000</v>
      </c>
      <c r="T1" s="5">
        <f>IF(AND($R$1,$A$1-1),QUOTIENT(S1,44)&amp;"x+"&amp;MOD(S1,44),S1)</f>
        <v>1000</v>
      </c>
      <c r="U1" s="36">
        <v>100</v>
      </c>
      <c r="V1" s="5">
        <f>IF(AND($R$1,$A$1-1),QUOTIENT(U1,44)&amp;"x+"&amp;MOD(U1,44),U1)</f>
        <v>100</v>
      </c>
      <c r="W1" s="37">
        <v>100</v>
      </c>
      <c r="X1" s="5">
        <f>IF(AND($R$1,$A$1-1),QUOTIENT(W1,44)&amp;"x+"&amp;MOD(W1,44),W1)</f>
        <v>100</v>
      </c>
      <c r="Y1" s="4" t="s">
        <v>34</v>
      </c>
      <c r="Z1" s="5" t="s">
        <v>93</v>
      </c>
      <c r="AA1" s="4" t="s">
        <v>70</v>
      </c>
      <c r="AB1" s="14">
        <v>1</v>
      </c>
      <c r="AC1" s="4" t="s">
        <v>71</v>
      </c>
      <c r="AD1" s="14">
        <v>1</v>
      </c>
      <c r="AE1" s="21" t="s">
        <v>76</v>
      </c>
      <c r="AF1" s="22">
        <v>2</v>
      </c>
      <c r="AG1" s="30"/>
    </row>
    <row r="2" spans="1:33" ht="24" customHeight="1" x14ac:dyDescent="0.2">
      <c r="A2" s="41"/>
      <c r="B2" s="42" t="s">
        <v>5</v>
      </c>
      <c r="C2" s="43">
        <f t="shared" ref="C2:C35" si="0">IF(AND($R$1,$A$1-1),Q2&amp;"x",T2)</f>
        <v>35</v>
      </c>
      <c r="D2" s="43">
        <f t="shared" ref="D2:D35" si="1">IF(AND($R$1,$A$1-1),R2&amp;"x",U2)</f>
        <v>18</v>
      </c>
      <c r="E2" s="43">
        <f t="shared" ref="E2:E35" si="2">IF(AND($R$1,$A$1-1),S2&amp;"x",V2)</f>
        <v>1</v>
      </c>
      <c r="F2" s="44">
        <v>1</v>
      </c>
      <c r="G2" s="45" t="s">
        <v>35</v>
      </c>
      <c r="H2" s="46">
        <f t="shared" ref="H2:H35" si="3">IF(AND($R$1,$A$1-1),QUOTIENT(W2,44)&amp;"x+"&amp;MOD(W2,44),W2)</f>
        <v>0</v>
      </c>
      <c r="I2" s="47">
        <f t="shared" ref="I2:I35" si="4">IF(U$1*P2&gt;V2,CEILING(T2/(U$1*P2-V2),1)-1,"NaN")</f>
        <v>0</v>
      </c>
      <c r="J2" s="48">
        <f t="shared" ref="J2:J35" si="5">IF(ISNUMBER(I2),IF(AND($R$1,$A$1-1),QUOTIENT(W2*I2,44)&amp;"x+"&amp;MOD(W2*I2,44),W2*I2),"NaN")</f>
        <v>0</v>
      </c>
      <c r="K2" s="59" t="str">
        <f>IF(X2&lt;0,"NaN",IF(X2=0,"JUST","−"&amp;IF(AND($R$1,$A$1-1),QUOTIENT(X2,44)&amp;"x+"&amp;MOD(X2,44),X2)))</f>
        <v>−64</v>
      </c>
      <c r="L2" s="58" t="str">
        <f>IF(Y2,IF(AND($R$1,$A$1-1),QUOTIENT(Y2,44)&amp;"x+"&amp;MOD(Y2,44),Y2),"–")</f>
        <v>–</v>
      </c>
      <c r="M2" s="40" t="str">
        <f>IF(Z2,IF(AND($R$1,$A$1-1),QUOTIENT(Z2,44)&amp;"x+"&amp;MOD(Z2,44),Z2),"–")</f>
        <v>–</v>
      </c>
      <c r="N2" s="40" t="str">
        <f>IF(AA2,IF(AND($R$1,$A$1-1),QUOTIENT(AA2,44)&amp;"x+"&amp;MOD(AA2,44),AA2),"–")</f>
        <v>–</v>
      </c>
      <c r="O2" s="57" t="str">
        <f>IF(AB2,IF(AND($R$1,$A$1-1),QUOTIENT(AB2,44)&amp;"x+"&amp;MOD(AB2,44),AB2),"–")</f>
        <v>–</v>
      </c>
      <c r="P2" s="15">
        <f t="shared" ref="P2:P35" si="6">IF(OR(AND(ISNUMBER(FIND("[C]",B2)),AB$1),AND(ISNUMBER(FIND("[D]",B2)),AD$1)),2,1)</f>
        <v>1</v>
      </c>
      <c r="Q2" s="15">
        <v>35</v>
      </c>
      <c r="R2" s="15">
        <v>18</v>
      </c>
      <c r="S2" s="15">
        <v>1</v>
      </c>
      <c r="T2" s="38">
        <f t="shared" ref="T2:T34" si="7">Q2*($A$1*43-42)</f>
        <v>35</v>
      </c>
      <c r="U2" s="38">
        <f t="shared" ref="U2:U34" si="8">R2*($A$1*43-42)</f>
        <v>18</v>
      </c>
      <c r="V2" s="38">
        <f t="shared" ref="V2:V34" si="9">S2*($A$1*43-42)</f>
        <v>1</v>
      </c>
      <c r="W2" s="15">
        <f t="shared" ref="W2:W35" si="10">MAX(0,U2-W$1)</f>
        <v>0</v>
      </c>
      <c r="X2" s="69">
        <f>IF(ISNUMBER(I2),IF(I2&lt;1,FLOOR(U$1-(V2+T2)/P2,1),FLOOR(U$1-(T2/(I2+1)+V2)/P2,1)),-1)</f>
        <v>64</v>
      </c>
      <c r="Y2" s="15">
        <f t="shared" ref="Y2:Y35" si="11">IF(ISNUMBER(I2),IF(I2&lt;1,0,CEILING((T2/I2+V2)/P2-U$1,1)),CEILING((1+V2)/P2-U$1,1))</f>
        <v>0</v>
      </c>
      <c r="Z2" s="15">
        <f t="shared" ref="Z2:Z35" si="12">IF(ISNUMBER(I2),IF(I2&lt;2,0,CEILING((T2/(I2-1)+V2)/P2-U$1,1)),CEILING((2+V2)/P2-U$1,1))</f>
        <v>0</v>
      </c>
      <c r="AA2" s="15">
        <f t="shared" ref="AA2:AA35" si="13">IF(ISNUMBER(I2),IF(I2&lt;3,0,CEILING((T2/(I2-2)+V2)/P2-U$1,1)),CEILING((3+V2)/P2-U$1,1))</f>
        <v>0</v>
      </c>
      <c r="AB2" s="15">
        <f t="shared" ref="AB2:AB35" si="14">IF(ISNUMBER(I2),IF(I2&lt;4,0,CEILING((T2/(I2-3)+V2)/P2-U$1,1)),CEILING((4+V2)/P2-U$1,1))</f>
        <v>0</v>
      </c>
    </row>
    <row r="3" spans="1:33" ht="24" customHeight="1" x14ac:dyDescent="0.2">
      <c r="A3" s="10"/>
      <c r="B3" s="7" t="s">
        <v>6</v>
      </c>
      <c r="C3" s="23">
        <f t="shared" si="0"/>
        <v>45</v>
      </c>
      <c r="D3" s="23">
        <f t="shared" si="1"/>
        <v>20</v>
      </c>
      <c r="E3" s="23">
        <f t="shared" si="2"/>
        <v>2</v>
      </c>
      <c r="F3" s="24">
        <v>2</v>
      </c>
      <c r="G3" s="18" t="s">
        <v>36</v>
      </c>
      <c r="H3" s="12">
        <f t="shared" si="3"/>
        <v>0</v>
      </c>
      <c r="I3" s="6">
        <f t="shared" si="4"/>
        <v>0</v>
      </c>
      <c r="J3" s="13">
        <f t="shared" si="5"/>
        <v>0</v>
      </c>
      <c r="K3" s="60" t="str">
        <f t="shared" ref="K3:K35" si="15">IF(X3&lt;0,"NaN",IF(X3=0,"JUST","−"&amp;IF(AND($R$1,$A$1-1),QUOTIENT(X3,44)&amp;"x+"&amp;MOD(X3,44),X3)))</f>
        <v>−53</v>
      </c>
      <c r="L3" s="31" t="str">
        <f t="shared" ref="L3:L35" si="16">IF(Y3,IF(AND($R$1,$A$1-1),QUOTIENT(Y3,44)&amp;"x+"&amp;MOD(Y3,44),Y3),"–")</f>
        <v>–</v>
      </c>
      <c r="M3" s="32" t="str">
        <f t="shared" ref="M3:M35" si="17">IF(Z3,IF(AND($R$1,$A$1-1),QUOTIENT(Z3,44)&amp;"x+"&amp;MOD(Z3,44),Z3),"–")</f>
        <v>–</v>
      </c>
      <c r="N3" s="32" t="str">
        <f t="shared" ref="N3:N35" si="18">IF(AA3,IF(AND($R$1,$A$1-1),QUOTIENT(AA3,44)&amp;"x+"&amp;MOD(AA3,44),AA3),"–")</f>
        <v>–</v>
      </c>
      <c r="O3" s="33" t="str">
        <f t="shared" ref="O3:O35" si="19">IF(AB3,IF(AND($R$1,$A$1-1),QUOTIENT(AB3,44)&amp;"x+"&amp;MOD(AB3,44),AB3),"–")</f>
        <v>–</v>
      </c>
      <c r="P3" s="15">
        <f t="shared" si="6"/>
        <v>1</v>
      </c>
      <c r="Q3" s="15">
        <v>45</v>
      </c>
      <c r="R3" s="15">
        <v>20</v>
      </c>
      <c r="S3" s="15">
        <v>2</v>
      </c>
      <c r="T3" s="38">
        <f t="shared" si="7"/>
        <v>45</v>
      </c>
      <c r="U3" s="38">
        <f t="shared" si="8"/>
        <v>20</v>
      </c>
      <c r="V3" s="38">
        <f t="shared" si="9"/>
        <v>2</v>
      </c>
      <c r="W3" s="15">
        <f t="shared" si="10"/>
        <v>0</v>
      </c>
      <c r="X3" s="69">
        <f t="shared" ref="X3:X35" si="20">IF(ISNUMBER(I3),IF(I3&lt;1,FLOOR(U$1-(V3+T3)/P3,1),FLOOR(U$1-(T3/(I3+1)+V3)/P3,1)),-1)</f>
        <v>53</v>
      </c>
      <c r="Y3" s="15">
        <f t="shared" si="11"/>
        <v>0</v>
      </c>
      <c r="Z3" s="15">
        <f t="shared" si="12"/>
        <v>0</v>
      </c>
      <c r="AA3" s="15">
        <f t="shared" si="13"/>
        <v>0</v>
      </c>
      <c r="AB3" s="15">
        <f t="shared" si="14"/>
        <v>0</v>
      </c>
    </row>
    <row r="4" spans="1:33" ht="24" customHeight="1" x14ac:dyDescent="0.2">
      <c r="A4" s="11"/>
      <c r="B4" s="8" t="s">
        <v>7</v>
      </c>
      <c r="C4" s="23">
        <f t="shared" si="0"/>
        <v>35</v>
      </c>
      <c r="D4" s="23">
        <f t="shared" si="1"/>
        <v>38</v>
      </c>
      <c r="E4" s="23">
        <f t="shared" si="2"/>
        <v>3</v>
      </c>
      <c r="F4" s="24">
        <v>3</v>
      </c>
      <c r="G4" s="18" t="s">
        <v>37</v>
      </c>
      <c r="H4" s="12">
        <f t="shared" si="3"/>
        <v>0</v>
      </c>
      <c r="I4" s="6">
        <f t="shared" si="4"/>
        <v>0</v>
      </c>
      <c r="J4" s="13">
        <f t="shared" si="5"/>
        <v>0</v>
      </c>
      <c r="K4" s="60" t="str">
        <f t="shared" si="15"/>
        <v>−62</v>
      </c>
      <c r="L4" s="31" t="str">
        <f t="shared" si="16"/>
        <v>–</v>
      </c>
      <c r="M4" s="32" t="str">
        <f t="shared" si="17"/>
        <v>–</v>
      </c>
      <c r="N4" s="32" t="str">
        <f t="shared" si="18"/>
        <v>–</v>
      </c>
      <c r="O4" s="33" t="str">
        <f t="shared" si="19"/>
        <v>–</v>
      </c>
      <c r="P4" s="15">
        <f t="shared" si="6"/>
        <v>1</v>
      </c>
      <c r="Q4" s="15">
        <v>35</v>
      </c>
      <c r="R4" s="15">
        <v>38</v>
      </c>
      <c r="S4" s="15">
        <v>3</v>
      </c>
      <c r="T4" s="38">
        <f t="shared" si="7"/>
        <v>35</v>
      </c>
      <c r="U4" s="38">
        <f t="shared" si="8"/>
        <v>38</v>
      </c>
      <c r="V4" s="38">
        <f t="shared" si="9"/>
        <v>3</v>
      </c>
      <c r="W4" s="15">
        <f t="shared" si="10"/>
        <v>0</v>
      </c>
      <c r="X4" s="69">
        <f t="shared" si="20"/>
        <v>62</v>
      </c>
      <c r="Y4" s="15">
        <f t="shared" si="11"/>
        <v>0</v>
      </c>
      <c r="Z4" s="15">
        <f t="shared" si="12"/>
        <v>0</v>
      </c>
      <c r="AA4" s="15">
        <f t="shared" si="13"/>
        <v>0</v>
      </c>
      <c r="AB4" s="15">
        <f t="shared" si="14"/>
        <v>0</v>
      </c>
    </row>
    <row r="5" spans="1:33" ht="24" customHeight="1" x14ac:dyDescent="0.2">
      <c r="A5" s="11"/>
      <c r="B5" s="8" t="s">
        <v>8</v>
      </c>
      <c r="C5" s="23">
        <f t="shared" si="0"/>
        <v>60</v>
      </c>
      <c r="D5" s="23">
        <f t="shared" si="1"/>
        <v>32</v>
      </c>
      <c r="E5" s="23">
        <f t="shared" si="2"/>
        <v>8</v>
      </c>
      <c r="F5" s="24">
        <v>5</v>
      </c>
      <c r="G5" s="18" t="s">
        <v>38</v>
      </c>
      <c r="H5" s="12">
        <f t="shared" si="3"/>
        <v>0</v>
      </c>
      <c r="I5" s="6">
        <f t="shared" si="4"/>
        <v>0</v>
      </c>
      <c r="J5" s="13">
        <f t="shared" si="5"/>
        <v>0</v>
      </c>
      <c r="K5" s="60" t="str">
        <f t="shared" si="15"/>
        <v>−32</v>
      </c>
      <c r="L5" s="31" t="str">
        <f t="shared" si="16"/>
        <v>–</v>
      </c>
      <c r="M5" s="32" t="str">
        <f t="shared" si="17"/>
        <v>–</v>
      </c>
      <c r="N5" s="32" t="str">
        <f t="shared" si="18"/>
        <v>–</v>
      </c>
      <c r="O5" s="33" t="str">
        <f t="shared" si="19"/>
        <v>–</v>
      </c>
      <c r="P5" s="15">
        <f t="shared" si="6"/>
        <v>1</v>
      </c>
      <c r="Q5" s="15">
        <v>60</v>
      </c>
      <c r="R5" s="15">
        <v>32</v>
      </c>
      <c r="S5" s="15">
        <v>8</v>
      </c>
      <c r="T5" s="38">
        <f t="shared" si="7"/>
        <v>60</v>
      </c>
      <c r="U5" s="38">
        <f t="shared" si="8"/>
        <v>32</v>
      </c>
      <c r="V5" s="38">
        <f t="shared" si="9"/>
        <v>8</v>
      </c>
      <c r="W5" s="15">
        <f t="shared" si="10"/>
        <v>0</v>
      </c>
      <c r="X5" s="69">
        <f t="shared" si="20"/>
        <v>32</v>
      </c>
      <c r="Y5" s="15">
        <f t="shared" si="11"/>
        <v>0</v>
      </c>
      <c r="Z5" s="15">
        <f t="shared" si="12"/>
        <v>0</v>
      </c>
      <c r="AA5" s="15">
        <f t="shared" si="13"/>
        <v>0</v>
      </c>
      <c r="AB5" s="15">
        <f t="shared" si="14"/>
        <v>0</v>
      </c>
    </row>
    <row r="6" spans="1:33" ht="24" customHeight="1" x14ac:dyDescent="0.2">
      <c r="A6" s="11"/>
      <c r="B6" s="8" t="s">
        <v>9</v>
      </c>
      <c r="C6" s="23">
        <f t="shared" si="0"/>
        <v>50</v>
      </c>
      <c r="D6" s="23">
        <f t="shared" si="1"/>
        <v>42</v>
      </c>
      <c r="E6" s="23">
        <f t="shared" si="2"/>
        <v>6</v>
      </c>
      <c r="F6" s="24">
        <v>6</v>
      </c>
      <c r="G6" s="18" t="s">
        <v>39</v>
      </c>
      <c r="H6" s="12">
        <f t="shared" si="3"/>
        <v>0</v>
      </c>
      <c r="I6" s="6">
        <f t="shared" si="4"/>
        <v>0</v>
      </c>
      <c r="J6" s="13">
        <f t="shared" si="5"/>
        <v>0</v>
      </c>
      <c r="K6" s="60" t="str">
        <f t="shared" si="15"/>
        <v>−44</v>
      </c>
      <c r="L6" s="31" t="str">
        <f t="shared" si="16"/>
        <v>–</v>
      </c>
      <c r="M6" s="32" t="str">
        <f t="shared" si="17"/>
        <v>–</v>
      </c>
      <c r="N6" s="32" t="str">
        <f t="shared" si="18"/>
        <v>–</v>
      </c>
      <c r="O6" s="33" t="str">
        <f t="shared" si="19"/>
        <v>–</v>
      </c>
      <c r="P6" s="15">
        <f t="shared" si="6"/>
        <v>1</v>
      </c>
      <c r="Q6" s="15">
        <v>50</v>
      </c>
      <c r="R6" s="15">
        <v>42</v>
      </c>
      <c r="S6" s="15">
        <v>6</v>
      </c>
      <c r="T6" s="38">
        <f t="shared" si="7"/>
        <v>50</v>
      </c>
      <c r="U6" s="38">
        <f t="shared" si="8"/>
        <v>42</v>
      </c>
      <c r="V6" s="38">
        <f t="shared" si="9"/>
        <v>6</v>
      </c>
      <c r="W6" s="15">
        <f t="shared" si="10"/>
        <v>0</v>
      </c>
      <c r="X6" s="69">
        <f t="shared" si="20"/>
        <v>44</v>
      </c>
      <c r="Y6" s="15">
        <f t="shared" si="11"/>
        <v>0</v>
      </c>
      <c r="Z6" s="15">
        <f t="shared" si="12"/>
        <v>0</v>
      </c>
      <c r="AA6" s="15">
        <f t="shared" si="13"/>
        <v>0</v>
      </c>
      <c r="AB6" s="15">
        <f t="shared" si="14"/>
        <v>0</v>
      </c>
    </row>
    <row r="7" spans="1:33" ht="24" customHeight="1" x14ac:dyDescent="0.2">
      <c r="A7" s="10"/>
      <c r="B7" s="7" t="s">
        <v>10</v>
      </c>
      <c r="C7" s="23">
        <f t="shared" si="0"/>
        <v>55</v>
      </c>
      <c r="D7" s="23">
        <f t="shared" si="1"/>
        <v>52</v>
      </c>
      <c r="E7" s="23">
        <f t="shared" si="2"/>
        <v>12</v>
      </c>
      <c r="F7" s="24">
        <v>8</v>
      </c>
      <c r="G7" s="18" t="s">
        <v>40</v>
      </c>
      <c r="H7" s="12">
        <f t="shared" si="3"/>
        <v>0</v>
      </c>
      <c r="I7" s="6">
        <f t="shared" si="4"/>
        <v>0</v>
      </c>
      <c r="J7" s="13">
        <f t="shared" si="5"/>
        <v>0</v>
      </c>
      <c r="K7" s="60" t="str">
        <f t="shared" si="15"/>
        <v>−33</v>
      </c>
      <c r="L7" s="31" t="str">
        <f t="shared" si="16"/>
        <v>–</v>
      </c>
      <c r="M7" s="32" t="str">
        <f t="shared" si="17"/>
        <v>–</v>
      </c>
      <c r="N7" s="32" t="str">
        <f t="shared" si="18"/>
        <v>–</v>
      </c>
      <c r="O7" s="33" t="str">
        <f t="shared" si="19"/>
        <v>–</v>
      </c>
      <c r="P7" s="15">
        <f t="shared" si="6"/>
        <v>1</v>
      </c>
      <c r="Q7" s="15">
        <v>55</v>
      </c>
      <c r="R7" s="15">
        <v>52</v>
      </c>
      <c r="S7" s="15">
        <v>12</v>
      </c>
      <c r="T7" s="38">
        <f t="shared" si="7"/>
        <v>55</v>
      </c>
      <c r="U7" s="38">
        <f t="shared" si="8"/>
        <v>52</v>
      </c>
      <c r="V7" s="38">
        <f t="shared" si="9"/>
        <v>12</v>
      </c>
      <c r="W7" s="15">
        <f t="shared" si="10"/>
        <v>0</v>
      </c>
      <c r="X7" s="69">
        <f t="shared" si="20"/>
        <v>33</v>
      </c>
      <c r="Y7" s="15">
        <f t="shared" si="11"/>
        <v>0</v>
      </c>
      <c r="Z7" s="15">
        <f t="shared" si="12"/>
        <v>0</v>
      </c>
      <c r="AA7" s="15">
        <f t="shared" si="13"/>
        <v>0</v>
      </c>
      <c r="AB7" s="15">
        <f t="shared" si="14"/>
        <v>0</v>
      </c>
    </row>
    <row r="8" spans="1:33" ht="24" customHeight="1" x14ac:dyDescent="0.2">
      <c r="A8" s="11"/>
      <c r="B8" s="8" t="s">
        <v>12</v>
      </c>
      <c r="C8" s="23">
        <f t="shared" si="0"/>
        <v>50</v>
      </c>
      <c r="D8" s="23">
        <f t="shared" si="1"/>
        <v>48</v>
      </c>
      <c r="E8" s="23">
        <f t="shared" si="2"/>
        <v>22</v>
      </c>
      <c r="F8" s="24">
        <v>12</v>
      </c>
      <c r="G8" s="18" t="s">
        <v>41</v>
      </c>
      <c r="H8" s="12">
        <f t="shared" si="3"/>
        <v>0</v>
      </c>
      <c r="I8" s="6">
        <f t="shared" si="4"/>
        <v>0</v>
      </c>
      <c r="J8" s="13">
        <f t="shared" si="5"/>
        <v>0</v>
      </c>
      <c r="K8" s="60" t="str">
        <f t="shared" si="15"/>
        <v>−28</v>
      </c>
      <c r="L8" s="31" t="str">
        <f t="shared" si="16"/>
        <v>–</v>
      </c>
      <c r="M8" s="32" t="str">
        <f t="shared" si="17"/>
        <v>–</v>
      </c>
      <c r="N8" s="32" t="str">
        <f t="shared" si="18"/>
        <v>–</v>
      </c>
      <c r="O8" s="33" t="str">
        <f t="shared" si="19"/>
        <v>–</v>
      </c>
      <c r="P8" s="15">
        <f t="shared" si="6"/>
        <v>1</v>
      </c>
      <c r="Q8" s="15">
        <v>50</v>
      </c>
      <c r="R8" s="15">
        <v>48</v>
      </c>
      <c r="S8" s="15">
        <v>22</v>
      </c>
      <c r="T8" s="38">
        <f t="shared" si="7"/>
        <v>50</v>
      </c>
      <c r="U8" s="38">
        <f t="shared" si="8"/>
        <v>48</v>
      </c>
      <c r="V8" s="38">
        <f t="shared" si="9"/>
        <v>22</v>
      </c>
      <c r="W8" s="15">
        <f t="shared" si="10"/>
        <v>0</v>
      </c>
      <c r="X8" s="69">
        <f t="shared" si="20"/>
        <v>28</v>
      </c>
      <c r="Y8" s="15">
        <f t="shared" si="11"/>
        <v>0</v>
      </c>
      <c r="Z8" s="15">
        <f t="shared" si="12"/>
        <v>0</v>
      </c>
      <c r="AA8" s="15">
        <f t="shared" si="13"/>
        <v>0</v>
      </c>
      <c r="AB8" s="15">
        <f t="shared" si="14"/>
        <v>0</v>
      </c>
    </row>
    <row r="9" spans="1:33" ht="24" customHeight="1" x14ac:dyDescent="0.2">
      <c r="A9" s="11"/>
      <c r="B9" s="8" t="s">
        <v>11</v>
      </c>
      <c r="C9" s="23">
        <f t="shared" si="0"/>
        <v>100</v>
      </c>
      <c r="D9" s="23">
        <f t="shared" si="1"/>
        <v>65</v>
      </c>
      <c r="E9" s="23">
        <f t="shared" si="2"/>
        <v>15</v>
      </c>
      <c r="F9" s="24">
        <v>30</v>
      </c>
      <c r="G9" s="18" t="s">
        <v>42</v>
      </c>
      <c r="H9" s="12">
        <f t="shared" si="3"/>
        <v>0</v>
      </c>
      <c r="I9" s="6">
        <f t="shared" si="4"/>
        <v>1</v>
      </c>
      <c r="J9" s="13">
        <f t="shared" si="5"/>
        <v>0</v>
      </c>
      <c r="K9" s="60" t="str">
        <f t="shared" si="15"/>
        <v>−35</v>
      </c>
      <c r="L9" s="31">
        <f t="shared" si="16"/>
        <v>15</v>
      </c>
      <c r="M9" s="32" t="str">
        <f t="shared" si="17"/>
        <v>–</v>
      </c>
      <c r="N9" s="32" t="str">
        <f t="shared" si="18"/>
        <v>–</v>
      </c>
      <c r="O9" s="33" t="str">
        <f t="shared" si="19"/>
        <v>–</v>
      </c>
      <c r="P9" s="15">
        <f t="shared" si="6"/>
        <v>1</v>
      </c>
      <c r="Q9" s="15">
        <v>100</v>
      </c>
      <c r="R9" s="15">
        <v>65</v>
      </c>
      <c r="S9" s="15">
        <v>15</v>
      </c>
      <c r="T9" s="38">
        <f t="shared" si="7"/>
        <v>100</v>
      </c>
      <c r="U9" s="38">
        <f t="shared" si="8"/>
        <v>65</v>
      </c>
      <c r="V9" s="38">
        <f t="shared" si="9"/>
        <v>15</v>
      </c>
      <c r="W9" s="15">
        <f t="shared" si="10"/>
        <v>0</v>
      </c>
      <c r="X9" s="69">
        <f t="shared" si="20"/>
        <v>35</v>
      </c>
      <c r="Y9" s="15">
        <f t="shared" si="11"/>
        <v>15</v>
      </c>
      <c r="Z9" s="15">
        <f t="shared" si="12"/>
        <v>0</v>
      </c>
      <c r="AA9" s="15">
        <f t="shared" si="13"/>
        <v>0</v>
      </c>
      <c r="AB9" s="15">
        <f t="shared" si="14"/>
        <v>0</v>
      </c>
    </row>
    <row r="10" spans="1:33" ht="24" customHeight="1" x14ac:dyDescent="0.2">
      <c r="A10" s="10"/>
      <c r="B10" s="7" t="s">
        <v>13</v>
      </c>
      <c r="C10" s="23">
        <f t="shared" si="0"/>
        <v>130</v>
      </c>
      <c r="D10" s="23">
        <f t="shared" si="1"/>
        <v>60</v>
      </c>
      <c r="E10" s="23">
        <f t="shared" si="2"/>
        <v>3</v>
      </c>
      <c r="F10" s="24">
        <v>8</v>
      </c>
      <c r="G10" s="18" t="s">
        <v>80</v>
      </c>
      <c r="H10" s="12">
        <f t="shared" si="3"/>
        <v>0</v>
      </c>
      <c r="I10" s="6">
        <f t="shared" si="4"/>
        <v>1</v>
      </c>
      <c r="J10" s="13">
        <f t="shared" si="5"/>
        <v>0</v>
      </c>
      <c r="K10" s="60" t="str">
        <f t="shared" si="15"/>
        <v>−32</v>
      </c>
      <c r="L10" s="31">
        <f t="shared" si="16"/>
        <v>33</v>
      </c>
      <c r="M10" s="32" t="str">
        <f t="shared" si="17"/>
        <v>–</v>
      </c>
      <c r="N10" s="32" t="str">
        <f t="shared" si="18"/>
        <v>–</v>
      </c>
      <c r="O10" s="33" t="str">
        <f t="shared" si="19"/>
        <v>–</v>
      </c>
      <c r="P10" s="15">
        <f t="shared" si="6"/>
        <v>1</v>
      </c>
      <c r="Q10" s="15">
        <v>130</v>
      </c>
      <c r="R10" s="15">
        <v>60</v>
      </c>
      <c r="S10" s="15">
        <v>3</v>
      </c>
      <c r="T10" s="38">
        <f t="shared" si="7"/>
        <v>130</v>
      </c>
      <c r="U10" s="38">
        <f t="shared" si="8"/>
        <v>60</v>
      </c>
      <c r="V10" s="38">
        <f t="shared" si="9"/>
        <v>3</v>
      </c>
      <c r="W10" s="15">
        <f t="shared" si="10"/>
        <v>0</v>
      </c>
      <c r="X10" s="69">
        <f t="shared" si="20"/>
        <v>32</v>
      </c>
      <c r="Y10" s="15">
        <f t="shared" si="11"/>
        <v>33</v>
      </c>
      <c r="Z10" s="15">
        <f t="shared" si="12"/>
        <v>0</v>
      </c>
      <c r="AA10" s="15">
        <f t="shared" si="13"/>
        <v>0</v>
      </c>
      <c r="AB10" s="15">
        <f t="shared" si="14"/>
        <v>0</v>
      </c>
    </row>
    <row r="11" spans="1:33" ht="24" customHeight="1" x14ac:dyDescent="0.2">
      <c r="A11" s="11"/>
      <c r="B11" s="8" t="s">
        <v>14</v>
      </c>
      <c r="C11" s="23">
        <f t="shared" si="0"/>
        <v>60</v>
      </c>
      <c r="D11" s="23">
        <f t="shared" si="1"/>
        <v>100</v>
      </c>
      <c r="E11" s="23">
        <f t="shared" si="2"/>
        <v>8</v>
      </c>
      <c r="F11" s="24">
        <v>12</v>
      </c>
      <c r="G11" s="18" t="s">
        <v>43</v>
      </c>
      <c r="H11" s="12">
        <f t="shared" si="3"/>
        <v>0</v>
      </c>
      <c r="I11" s="6">
        <f t="shared" si="4"/>
        <v>0</v>
      </c>
      <c r="J11" s="13">
        <f t="shared" si="5"/>
        <v>0</v>
      </c>
      <c r="K11" s="60" t="str">
        <f t="shared" si="15"/>
        <v>−32</v>
      </c>
      <c r="L11" s="31" t="str">
        <f t="shared" si="16"/>
        <v>–</v>
      </c>
      <c r="M11" s="32" t="str">
        <f t="shared" si="17"/>
        <v>–</v>
      </c>
      <c r="N11" s="32" t="str">
        <f t="shared" si="18"/>
        <v>–</v>
      </c>
      <c r="O11" s="33" t="str">
        <f t="shared" si="19"/>
        <v>–</v>
      </c>
      <c r="P11" s="15">
        <f t="shared" si="6"/>
        <v>1</v>
      </c>
      <c r="Q11" s="15">
        <v>60</v>
      </c>
      <c r="R11" s="15">
        <v>100</v>
      </c>
      <c r="S11" s="15">
        <v>8</v>
      </c>
      <c r="T11" s="38">
        <f t="shared" si="7"/>
        <v>60</v>
      </c>
      <c r="U11" s="38">
        <f t="shared" si="8"/>
        <v>100</v>
      </c>
      <c r="V11" s="38">
        <f t="shared" si="9"/>
        <v>8</v>
      </c>
      <c r="W11" s="15">
        <f t="shared" si="10"/>
        <v>0</v>
      </c>
      <c r="X11" s="69">
        <f t="shared" si="20"/>
        <v>32</v>
      </c>
      <c r="Y11" s="15">
        <f t="shared" si="11"/>
        <v>0</v>
      </c>
      <c r="Z11" s="15">
        <f t="shared" si="12"/>
        <v>0</v>
      </c>
      <c r="AA11" s="15">
        <f t="shared" si="13"/>
        <v>0</v>
      </c>
      <c r="AB11" s="15">
        <f t="shared" si="14"/>
        <v>0</v>
      </c>
    </row>
    <row r="12" spans="1:33" ht="24" customHeight="1" x14ac:dyDescent="0.2">
      <c r="A12" s="11"/>
      <c r="B12" s="8" t="s">
        <v>15</v>
      </c>
      <c r="C12" s="23">
        <f t="shared" si="0"/>
        <v>100</v>
      </c>
      <c r="D12" s="23">
        <f t="shared" si="1"/>
        <v>95</v>
      </c>
      <c r="E12" s="23">
        <f t="shared" si="2"/>
        <v>30</v>
      </c>
      <c r="F12" s="24">
        <v>22</v>
      </c>
      <c r="G12" s="18" t="s">
        <v>44</v>
      </c>
      <c r="H12" s="12">
        <f t="shared" si="3"/>
        <v>0</v>
      </c>
      <c r="I12" s="6">
        <f t="shared" si="4"/>
        <v>1</v>
      </c>
      <c r="J12" s="13">
        <f t="shared" si="5"/>
        <v>0</v>
      </c>
      <c r="K12" s="60" t="str">
        <f t="shared" si="15"/>
        <v>−20</v>
      </c>
      <c r="L12" s="31">
        <f t="shared" si="16"/>
        <v>30</v>
      </c>
      <c r="M12" s="32" t="str">
        <f t="shared" si="17"/>
        <v>–</v>
      </c>
      <c r="N12" s="32" t="str">
        <f t="shared" si="18"/>
        <v>–</v>
      </c>
      <c r="O12" s="33" t="str">
        <f t="shared" si="19"/>
        <v>–</v>
      </c>
      <c r="P12" s="15">
        <f t="shared" si="6"/>
        <v>1</v>
      </c>
      <c r="Q12" s="15">
        <v>100</v>
      </c>
      <c r="R12" s="15">
        <v>95</v>
      </c>
      <c r="S12" s="15">
        <v>30</v>
      </c>
      <c r="T12" s="38">
        <f t="shared" si="7"/>
        <v>100</v>
      </c>
      <c r="U12" s="38">
        <f t="shared" si="8"/>
        <v>95</v>
      </c>
      <c r="V12" s="38">
        <f t="shared" si="9"/>
        <v>30</v>
      </c>
      <c r="W12" s="15">
        <f t="shared" si="10"/>
        <v>0</v>
      </c>
      <c r="X12" s="69">
        <f t="shared" si="20"/>
        <v>20</v>
      </c>
      <c r="Y12" s="15">
        <f t="shared" si="11"/>
        <v>30</v>
      </c>
      <c r="Z12" s="15">
        <f t="shared" si="12"/>
        <v>0</v>
      </c>
      <c r="AA12" s="15">
        <f t="shared" si="13"/>
        <v>0</v>
      </c>
      <c r="AB12" s="15">
        <f t="shared" si="14"/>
        <v>0</v>
      </c>
    </row>
    <row r="13" spans="1:33" ht="24" customHeight="1" x14ac:dyDescent="0.2">
      <c r="A13" s="11"/>
      <c r="B13" s="8" t="s">
        <v>72</v>
      </c>
      <c r="C13" s="23">
        <f t="shared" si="0"/>
        <v>260</v>
      </c>
      <c r="D13" s="23">
        <f t="shared" si="1"/>
        <v>85</v>
      </c>
      <c r="E13" s="23">
        <f t="shared" si="2"/>
        <v>5</v>
      </c>
      <c r="F13" s="24">
        <v>18</v>
      </c>
      <c r="G13" s="18" t="s">
        <v>45</v>
      </c>
      <c r="H13" s="12">
        <f t="shared" si="3"/>
        <v>0</v>
      </c>
      <c r="I13" s="6">
        <f t="shared" si="4"/>
        <v>1</v>
      </c>
      <c r="J13" s="13">
        <f t="shared" si="5"/>
        <v>0</v>
      </c>
      <c r="K13" s="60" t="str">
        <f t="shared" si="15"/>
        <v>−32</v>
      </c>
      <c r="L13" s="31">
        <f t="shared" si="16"/>
        <v>33</v>
      </c>
      <c r="M13" s="32" t="str">
        <f t="shared" si="17"/>
        <v>–</v>
      </c>
      <c r="N13" s="32" t="str">
        <f t="shared" si="18"/>
        <v>–</v>
      </c>
      <c r="O13" s="33" t="str">
        <f t="shared" si="19"/>
        <v>–</v>
      </c>
      <c r="P13" s="15">
        <f t="shared" si="6"/>
        <v>2</v>
      </c>
      <c r="Q13" s="15">
        <v>260</v>
      </c>
      <c r="R13" s="15">
        <v>85</v>
      </c>
      <c r="S13" s="15">
        <v>5</v>
      </c>
      <c r="T13" s="38">
        <f t="shared" si="7"/>
        <v>260</v>
      </c>
      <c r="U13" s="38">
        <f t="shared" si="8"/>
        <v>85</v>
      </c>
      <c r="V13" s="38">
        <f t="shared" si="9"/>
        <v>5</v>
      </c>
      <c r="W13" s="15">
        <f t="shared" si="10"/>
        <v>0</v>
      </c>
      <c r="X13" s="69">
        <f t="shared" si="20"/>
        <v>32</v>
      </c>
      <c r="Y13" s="15">
        <f t="shared" si="11"/>
        <v>33</v>
      </c>
      <c r="Z13" s="15">
        <f t="shared" si="12"/>
        <v>0</v>
      </c>
      <c r="AA13" s="15">
        <f t="shared" si="13"/>
        <v>0</v>
      </c>
      <c r="AB13" s="15">
        <f t="shared" si="14"/>
        <v>0</v>
      </c>
    </row>
    <row r="14" spans="1:33" ht="24" customHeight="1" x14ac:dyDescent="0.2">
      <c r="A14" s="11"/>
      <c r="B14" s="8" t="s">
        <v>73</v>
      </c>
      <c r="C14" s="23">
        <f t="shared" si="0"/>
        <v>320</v>
      </c>
      <c r="D14" s="23">
        <f t="shared" si="1"/>
        <v>120</v>
      </c>
      <c r="E14" s="23">
        <f t="shared" si="2"/>
        <v>15</v>
      </c>
      <c r="F14" s="24">
        <v>30</v>
      </c>
      <c r="G14" s="18" t="s">
        <v>46</v>
      </c>
      <c r="H14" s="12">
        <f t="shared" si="3"/>
        <v>20</v>
      </c>
      <c r="I14" s="6">
        <f t="shared" si="4"/>
        <v>1</v>
      </c>
      <c r="J14" s="13">
        <f t="shared" si="5"/>
        <v>20</v>
      </c>
      <c r="K14" s="60" t="str">
        <f t="shared" si="15"/>
        <v>−12</v>
      </c>
      <c r="L14" s="31">
        <f t="shared" si="16"/>
        <v>68</v>
      </c>
      <c r="M14" s="32" t="str">
        <f t="shared" si="17"/>
        <v>–</v>
      </c>
      <c r="N14" s="32" t="str">
        <f t="shared" si="18"/>
        <v>–</v>
      </c>
      <c r="O14" s="33" t="str">
        <f t="shared" si="19"/>
        <v>–</v>
      </c>
      <c r="P14" s="15">
        <f t="shared" si="6"/>
        <v>2</v>
      </c>
      <c r="Q14" s="15">
        <v>320</v>
      </c>
      <c r="R14" s="15">
        <v>120</v>
      </c>
      <c r="S14" s="15">
        <v>15</v>
      </c>
      <c r="T14" s="38">
        <f t="shared" si="7"/>
        <v>320</v>
      </c>
      <c r="U14" s="38">
        <f t="shared" si="8"/>
        <v>120</v>
      </c>
      <c r="V14" s="38">
        <f t="shared" si="9"/>
        <v>15</v>
      </c>
      <c r="W14" s="15">
        <f t="shared" si="10"/>
        <v>20</v>
      </c>
      <c r="X14" s="69">
        <f t="shared" si="20"/>
        <v>12</v>
      </c>
      <c r="Y14" s="15">
        <f t="shared" si="11"/>
        <v>68</v>
      </c>
      <c r="Z14" s="15">
        <f t="shared" si="12"/>
        <v>0</v>
      </c>
      <c r="AA14" s="15">
        <f t="shared" si="13"/>
        <v>0</v>
      </c>
      <c r="AB14" s="15">
        <f t="shared" si="14"/>
        <v>0</v>
      </c>
    </row>
    <row r="15" spans="1:33" ht="24" customHeight="1" x14ac:dyDescent="0.2">
      <c r="A15" s="11"/>
      <c r="B15" s="8" t="s">
        <v>16</v>
      </c>
      <c r="C15" s="23">
        <f t="shared" si="0"/>
        <v>20</v>
      </c>
      <c r="D15" s="23">
        <f t="shared" si="1"/>
        <v>100</v>
      </c>
      <c r="E15" s="23">
        <f t="shared" si="2"/>
        <v>68</v>
      </c>
      <c r="F15" s="24">
        <v>28</v>
      </c>
      <c r="G15" s="18" t="s">
        <v>47</v>
      </c>
      <c r="H15" s="12">
        <f t="shared" si="3"/>
        <v>0</v>
      </c>
      <c r="I15" s="6">
        <f t="shared" si="4"/>
        <v>0</v>
      </c>
      <c r="J15" s="13">
        <f t="shared" si="5"/>
        <v>0</v>
      </c>
      <c r="K15" s="60" t="str">
        <f t="shared" si="15"/>
        <v>−12</v>
      </c>
      <c r="L15" s="31" t="str">
        <f t="shared" si="16"/>
        <v>–</v>
      </c>
      <c r="M15" s="32" t="str">
        <f t="shared" si="17"/>
        <v>–</v>
      </c>
      <c r="N15" s="32" t="str">
        <f t="shared" si="18"/>
        <v>–</v>
      </c>
      <c r="O15" s="33" t="str">
        <f t="shared" si="19"/>
        <v>–</v>
      </c>
      <c r="P15" s="15">
        <f t="shared" si="6"/>
        <v>1</v>
      </c>
      <c r="Q15" s="15">
        <v>20</v>
      </c>
      <c r="R15" s="15">
        <v>100</v>
      </c>
      <c r="S15" s="15">
        <v>68</v>
      </c>
      <c r="T15" s="38">
        <f t="shared" si="7"/>
        <v>20</v>
      </c>
      <c r="U15" s="38">
        <f t="shared" si="8"/>
        <v>100</v>
      </c>
      <c r="V15" s="38">
        <f t="shared" si="9"/>
        <v>68</v>
      </c>
      <c r="W15" s="15">
        <f t="shared" si="10"/>
        <v>0</v>
      </c>
      <c r="X15" s="69">
        <f t="shared" si="20"/>
        <v>12</v>
      </c>
      <c r="Y15" s="15">
        <f t="shared" si="11"/>
        <v>0</v>
      </c>
      <c r="Z15" s="15">
        <f t="shared" si="12"/>
        <v>0</v>
      </c>
      <c r="AA15" s="15">
        <f t="shared" si="13"/>
        <v>0</v>
      </c>
      <c r="AB15" s="15">
        <f t="shared" si="14"/>
        <v>0</v>
      </c>
    </row>
    <row r="16" spans="1:33" ht="24" customHeight="1" x14ac:dyDescent="0.2">
      <c r="A16" s="11"/>
      <c r="B16" s="9" t="s">
        <v>17</v>
      </c>
      <c r="C16" s="23">
        <f t="shared" si="0"/>
        <v>1200</v>
      </c>
      <c r="D16" s="23">
        <f t="shared" si="1"/>
        <v>180</v>
      </c>
      <c r="E16" s="23">
        <f t="shared" si="2"/>
        <v>20</v>
      </c>
      <c r="F16" s="24">
        <v>100</v>
      </c>
      <c r="G16" s="18" t="s">
        <v>48</v>
      </c>
      <c r="H16" s="12">
        <f t="shared" si="3"/>
        <v>80</v>
      </c>
      <c r="I16" s="6">
        <f t="shared" si="4"/>
        <v>14</v>
      </c>
      <c r="J16" s="13">
        <f t="shared" si="5"/>
        <v>1120</v>
      </c>
      <c r="K16" s="60" t="str">
        <f t="shared" si="15"/>
        <v>JUST</v>
      </c>
      <c r="L16" s="31">
        <f t="shared" si="16"/>
        <v>6</v>
      </c>
      <c r="M16" s="32">
        <f t="shared" si="17"/>
        <v>13</v>
      </c>
      <c r="N16" s="32">
        <f t="shared" si="18"/>
        <v>20</v>
      </c>
      <c r="O16" s="33">
        <f t="shared" si="19"/>
        <v>30</v>
      </c>
      <c r="P16" s="15">
        <f t="shared" si="6"/>
        <v>1</v>
      </c>
      <c r="Q16" s="15">
        <v>1200</v>
      </c>
      <c r="R16" s="15">
        <v>180</v>
      </c>
      <c r="S16" s="15">
        <v>20</v>
      </c>
      <c r="T16" s="38">
        <f t="shared" si="7"/>
        <v>1200</v>
      </c>
      <c r="U16" s="38">
        <f t="shared" si="8"/>
        <v>180</v>
      </c>
      <c r="V16" s="38">
        <f t="shared" si="9"/>
        <v>20</v>
      </c>
      <c r="W16" s="15">
        <f t="shared" si="10"/>
        <v>80</v>
      </c>
      <c r="X16" s="69">
        <f t="shared" si="20"/>
        <v>0</v>
      </c>
      <c r="Y16" s="15">
        <f t="shared" si="11"/>
        <v>6</v>
      </c>
      <c r="Z16" s="15">
        <f t="shared" si="12"/>
        <v>13</v>
      </c>
      <c r="AA16" s="15">
        <f t="shared" si="13"/>
        <v>20</v>
      </c>
      <c r="AB16" s="15">
        <f t="shared" si="14"/>
        <v>30</v>
      </c>
    </row>
    <row r="17" spans="1:28" ht="24" customHeight="1" x14ac:dyDescent="0.2">
      <c r="A17" s="11"/>
      <c r="B17" s="8" t="s">
        <v>74</v>
      </c>
      <c r="C17" s="23">
        <f t="shared" si="0"/>
        <v>444</v>
      </c>
      <c r="D17" s="23">
        <f t="shared" si="1"/>
        <v>199</v>
      </c>
      <c r="E17" s="23">
        <f t="shared" si="2"/>
        <v>66</v>
      </c>
      <c r="F17" s="24">
        <v>144</v>
      </c>
      <c r="G17" s="18" t="s">
        <v>49</v>
      </c>
      <c r="H17" s="12">
        <f t="shared" si="3"/>
        <v>99</v>
      </c>
      <c r="I17" s="6">
        <f t="shared" si="4"/>
        <v>3</v>
      </c>
      <c r="J17" s="13">
        <f t="shared" si="5"/>
        <v>297</v>
      </c>
      <c r="K17" s="60" t="str">
        <f t="shared" si="15"/>
        <v>−11</v>
      </c>
      <c r="L17" s="31">
        <f t="shared" si="16"/>
        <v>7</v>
      </c>
      <c r="M17" s="32">
        <f t="shared" si="17"/>
        <v>44</v>
      </c>
      <c r="N17" s="32">
        <f t="shared" si="18"/>
        <v>155</v>
      </c>
      <c r="O17" s="33" t="str">
        <f t="shared" si="19"/>
        <v>–</v>
      </c>
      <c r="P17" s="15">
        <f t="shared" si="6"/>
        <v>2</v>
      </c>
      <c r="Q17" s="15">
        <v>444</v>
      </c>
      <c r="R17" s="15">
        <v>199</v>
      </c>
      <c r="S17" s="15">
        <v>66</v>
      </c>
      <c r="T17" s="38">
        <f t="shared" si="7"/>
        <v>444</v>
      </c>
      <c r="U17" s="38">
        <f t="shared" si="8"/>
        <v>199</v>
      </c>
      <c r="V17" s="38">
        <f t="shared" si="9"/>
        <v>66</v>
      </c>
      <c r="W17" s="15">
        <f t="shared" si="10"/>
        <v>99</v>
      </c>
      <c r="X17" s="69">
        <f t="shared" si="20"/>
        <v>11</v>
      </c>
      <c r="Y17" s="15">
        <f t="shared" si="11"/>
        <v>7</v>
      </c>
      <c r="Z17" s="15">
        <f t="shared" si="12"/>
        <v>44</v>
      </c>
      <c r="AA17" s="15">
        <f t="shared" si="13"/>
        <v>155</v>
      </c>
      <c r="AB17" s="15">
        <f t="shared" si="14"/>
        <v>0</v>
      </c>
    </row>
    <row r="18" spans="1:28" ht="24" customHeight="1" x14ac:dyDescent="0.2">
      <c r="A18" s="11"/>
      <c r="B18" s="9" t="s">
        <v>18</v>
      </c>
      <c r="C18" s="23">
        <f t="shared" si="0"/>
        <v>4500</v>
      </c>
      <c r="D18" s="23">
        <f t="shared" si="1"/>
        <v>560</v>
      </c>
      <c r="E18" s="23">
        <f t="shared" si="2"/>
        <v>310</v>
      </c>
      <c r="F18" s="24">
        <v>1000</v>
      </c>
      <c r="G18" s="18" t="s">
        <v>50</v>
      </c>
      <c r="H18" s="12">
        <f t="shared" si="3"/>
        <v>460</v>
      </c>
      <c r="I18" s="6" t="str">
        <f t="shared" si="4"/>
        <v>NaN</v>
      </c>
      <c r="J18" s="13" t="str">
        <f t="shared" si="5"/>
        <v>NaN</v>
      </c>
      <c r="K18" s="60" t="str">
        <f t="shared" si="15"/>
        <v>NaN</v>
      </c>
      <c r="L18" s="31">
        <f t="shared" si="16"/>
        <v>211</v>
      </c>
      <c r="M18" s="32">
        <f t="shared" si="17"/>
        <v>212</v>
      </c>
      <c r="N18" s="32">
        <f t="shared" si="18"/>
        <v>213</v>
      </c>
      <c r="O18" s="33">
        <f t="shared" si="19"/>
        <v>214</v>
      </c>
      <c r="P18" s="15">
        <f t="shared" si="6"/>
        <v>1</v>
      </c>
      <c r="Q18" s="15">
        <v>4500</v>
      </c>
      <c r="R18" s="15">
        <v>560</v>
      </c>
      <c r="S18" s="15">
        <v>310</v>
      </c>
      <c r="T18" s="38">
        <f t="shared" si="7"/>
        <v>4500</v>
      </c>
      <c r="U18" s="38">
        <f t="shared" si="8"/>
        <v>560</v>
      </c>
      <c r="V18" s="38">
        <f t="shared" si="9"/>
        <v>310</v>
      </c>
      <c r="W18" s="15">
        <f t="shared" si="10"/>
        <v>460</v>
      </c>
      <c r="X18" s="69">
        <f t="shared" si="20"/>
        <v>-1</v>
      </c>
      <c r="Y18" s="15">
        <f t="shared" si="11"/>
        <v>211</v>
      </c>
      <c r="Z18" s="15">
        <f t="shared" si="12"/>
        <v>212</v>
      </c>
      <c r="AA18" s="15">
        <f t="shared" si="13"/>
        <v>213</v>
      </c>
      <c r="AB18" s="15">
        <f t="shared" si="14"/>
        <v>214</v>
      </c>
    </row>
    <row r="19" spans="1:28" ht="24" customHeight="1" x14ac:dyDescent="0.2">
      <c r="A19" s="11"/>
      <c r="B19" s="8" t="s">
        <v>19</v>
      </c>
      <c r="C19" s="23">
        <f t="shared" si="0"/>
        <v>220</v>
      </c>
      <c r="D19" s="23">
        <f t="shared" si="1"/>
        <v>180</v>
      </c>
      <c r="E19" s="23">
        <f t="shared" si="2"/>
        <v>30</v>
      </c>
      <c r="F19" s="24">
        <v>35</v>
      </c>
      <c r="G19" s="18" t="s">
        <v>51</v>
      </c>
      <c r="H19" s="12">
        <f t="shared" si="3"/>
        <v>80</v>
      </c>
      <c r="I19" s="6">
        <f t="shared" si="4"/>
        <v>3</v>
      </c>
      <c r="J19" s="13">
        <f t="shared" si="5"/>
        <v>240</v>
      </c>
      <c r="K19" s="60" t="str">
        <f t="shared" si="15"/>
        <v>−15</v>
      </c>
      <c r="L19" s="31">
        <f t="shared" si="16"/>
        <v>4</v>
      </c>
      <c r="M19" s="32">
        <f t="shared" si="17"/>
        <v>40</v>
      </c>
      <c r="N19" s="32">
        <f t="shared" si="18"/>
        <v>150</v>
      </c>
      <c r="O19" s="33" t="str">
        <f t="shared" si="19"/>
        <v>–</v>
      </c>
      <c r="P19" s="15">
        <f t="shared" si="6"/>
        <v>1</v>
      </c>
      <c r="Q19" s="15">
        <v>220</v>
      </c>
      <c r="R19" s="15">
        <v>180</v>
      </c>
      <c r="S19" s="15">
        <v>30</v>
      </c>
      <c r="T19" s="38">
        <f t="shared" si="7"/>
        <v>220</v>
      </c>
      <c r="U19" s="38">
        <f t="shared" si="8"/>
        <v>180</v>
      </c>
      <c r="V19" s="38">
        <f t="shared" si="9"/>
        <v>30</v>
      </c>
      <c r="W19" s="15">
        <f t="shared" si="10"/>
        <v>80</v>
      </c>
      <c r="X19" s="69">
        <f t="shared" si="20"/>
        <v>15</v>
      </c>
      <c r="Y19" s="15">
        <f t="shared" si="11"/>
        <v>4</v>
      </c>
      <c r="Z19" s="15">
        <f t="shared" si="12"/>
        <v>40</v>
      </c>
      <c r="AA19" s="15">
        <f t="shared" si="13"/>
        <v>150</v>
      </c>
      <c r="AB19" s="15">
        <f t="shared" si="14"/>
        <v>0</v>
      </c>
    </row>
    <row r="20" spans="1:28" ht="24" customHeight="1" x14ac:dyDescent="0.2">
      <c r="A20" s="11"/>
      <c r="B20" s="8" t="s">
        <v>20</v>
      </c>
      <c r="C20" s="23">
        <f t="shared" si="0"/>
        <v>210</v>
      </c>
      <c r="D20" s="23">
        <f t="shared" si="1"/>
        <v>200</v>
      </c>
      <c r="E20" s="23">
        <f t="shared" si="2"/>
        <v>65</v>
      </c>
      <c r="F20" s="24">
        <v>45</v>
      </c>
      <c r="G20" s="18" t="s">
        <v>52</v>
      </c>
      <c r="H20" s="12">
        <f t="shared" si="3"/>
        <v>100</v>
      </c>
      <c r="I20" s="6">
        <f t="shared" si="4"/>
        <v>5</v>
      </c>
      <c r="J20" s="13">
        <f t="shared" si="5"/>
        <v>500</v>
      </c>
      <c r="K20" s="60" t="str">
        <f t="shared" si="15"/>
        <v>JUST</v>
      </c>
      <c r="L20" s="31">
        <f t="shared" si="16"/>
        <v>7</v>
      </c>
      <c r="M20" s="32">
        <f t="shared" si="17"/>
        <v>18</v>
      </c>
      <c r="N20" s="32">
        <f t="shared" si="18"/>
        <v>35</v>
      </c>
      <c r="O20" s="33">
        <f t="shared" si="19"/>
        <v>70</v>
      </c>
      <c r="P20" s="15">
        <f t="shared" si="6"/>
        <v>1</v>
      </c>
      <c r="Q20" s="15">
        <v>210</v>
      </c>
      <c r="R20" s="15">
        <v>200</v>
      </c>
      <c r="S20" s="15">
        <v>65</v>
      </c>
      <c r="T20" s="38">
        <f t="shared" si="7"/>
        <v>210</v>
      </c>
      <c r="U20" s="38">
        <f t="shared" si="8"/>
        <v>200</v>
      </c>
      <c r="V20" s="38">
        <f t="shared" si="9"/>
        <v>65</v>
      </c>
      <c r="W20" s="15">
        <f t="shared" si="10"/>
        <v>100</v>
      </c>
      <c r="X20" s="69">
        <f t="shared" si="20"/>
        <v>0</v>
      </c>
      <c r="Y20" s="15">
        <f t="shared" si="11"/>
        <v>7</v>
      </c>
      <c r="Z20" s="15">
        <f t="shared" si="12"/>
        <v>18</v>
      </c>
      <c r="AA20" s="15">
        <f t="shared" si="13"/>
        <v>35</v>
      </c>
      <c r="AB20" s="15">
        <f t="shared" si="14"/>
        <v>70</v>
      </c>
    </row>
    <row r="21" spans="1:28" ht="24" customHeight="1" x14ac:dyDescent="0.2">
      <c r="A21" s="11"/>
      <c r="B21" s="8" t="s">
        <v>21</v>
      </c>
      <c r="C21" s="23">
        <f t="shared" si="0"/>
        <v>320</v>
      </c>
      <c r="D21" s="23">
        <f t="shared" si="1"/>
        <v>140</v>
      </c>
      <c r="E21" s="23">
        <f t="shared" si="2"/>
        <v>20</v>
      </c>
      <c r="F21" s="24">
        <v>30</v>
      </c>
      <c r="G21" s="18" t="s">
        <v>53</v>
      </c>
      <c r="H21" s="12">
        <f t="shared" si="3"/>
        <v>40</v>
      </c>
      <c r="I21" s="6">
        <f t="shared" si="4"/>
        <v>3</v>
      </c>
      <c r="J21" s="13">
        <f t="shared" si="5"/>
        <v>120</v>
      </c>
      <c r="K21" s="60" t="str">
        <f t="shared" si="15"/>
        <v>JUST</v>
      </c>
      <c r="L21" s="31">
        <f t="shared" si="16"/>
        <v>27</v>
      </c>
      <c r="M21" s="32">
        <f t="shared" si="17"/>
        <v>80</v>
      </c>
      <c r="N21" s="32">
        <f t="shared" si="18"/>
        <v>240</v>
      </c>
      <c r="O21" s="33" t="str">
        <f t="shared" si="19"/>
        <v>–</v>
      </c>
      <c r="P21" s="15">
        <f t="shared" si="6"/>
        <v>1</v>
      </c>
      <c r="Q21" s="15">
        <v>320</v>
      </c>
      <c r="R21" s="15">
        <v>140</v>
      </c>
      <c r="S21" s="15">
        <v>20</v>
      </c>
      <c r="T21" s="38">
        <f t="shared" si="7"/>
        <v>320</v>
      </c>
      <c r="U21" s="38">
        <f t="shared" si="8"/>
        <v>140</v>
      </c>
      <c r="V21" s="38">
        <f t="shared" si="9"/>
        <v>20</v>
      </c>
      <c r="W21" s="15">
        <f t="shared" si="10"/>
        <v>40</v>
      </c>
      <c r="X21" s="69">
        <f t="shared" si="20"/>
        <v>0</v>
      </c>
      <c r="Y21" s="15">
        <f t="shared" si="11"/>
        <v>27</v>
      </c>
      <c r="Z21" s="15">
        <f t="shared" si="12"/>
        <v>80</v>
      </c>
      <c r="AA21" s="15">
        <f t="shared" si="13"/>
        <v>240</v>
      </c>
      <c r="AB21" s="15">
        <f t="shared" si="14"/>
        <v>0</v>
      </c>
    </row>
    <row r="22" spans="1:28" ht="24" customHeight="1" x14ac:dyDescent="0.2">
      <c r="A22" s="11"/>
      <c r="B22" s="8" t="s">
        <v>22</v>
      </c>
      <c r="C22" s="23">
        <f t="shared" si="0"/>
        <v>100</v>
      </c>
      <c r="D22" s="23">
        <f t="shared" si="1"/>
        <v>180</v>
      </c>
      <c r="E22" s="23">
        <f t="shared" si="2"/>
        <v>110</v>
      </c>
      <c r="F22" s="24">
        <v>100</v>
      </c>
      <c r="G22" s="18" t="s">
        <v>54</v>
      </c>
      <c r="H22" s="12">
        <f t="shared" si="3"/>
        <v>80</v>
      </c>
      <c r="I22" s="6" t="str">
        <f t="shared" si="4"/>
        <v>NaN</v>
      </c>
      <c r="J22" s="13" t="str">
        <f t="shared" si="5"/>
        <v>NaN</v>
      </c>
      <c r="K22" s="60" t="str">
        <f t="shared" si="15"/>
        <v>NaN</v>
      </c>
      <c r="L22" s="31">
        <f t="shared" si="16"/>
        <v>11</v>
      </c>
      <c r="M22" s="32">
        <f t="shared" si="17"/>
        <v>12</v>
      </c>
      <c r="N22" s="32">
        <f t="shared" si="18"/>
        <v>13</v>
      </c>
      <c r="O22" s="33">
        <f t="shared" si="19"/>
        <v>14</v>
      </c>
      <c r="P22" s="15">
        <f t="shared" si="6"/>
        <v>1</v>
      </c>
      <c r="Q22" s="15">
        <v>100</v>
      </c>
      <c r="R22" s="15">
        <v>180</v>
      </c>
      <c r="S22" s="15">
        <v>110</v>
      </c>
      <c r="T22" s="38">
        <f t="shared" si="7"/>
        <v>100</v>
      </c>
      <c r="U22" s="38">
        <f t="shared" si="8"/>
        <v>180</v>
      </c>
      <c r="V22" s="38">
        <f t="shared" si="9"/>
        <v>110</v>
      </c>
      <c r="W22" s="15">
        <f t="shared" si="10"/>
        <v>80</v>
      </c>
      <c r="X22" s="69">
        <f t="shared" si="20"/>
        <v>-1</v>
      </c>
      <c r="Y22" s="15">
        <f t="shared" si="11"/>
        <v>11</v>
      </c>
      <c r="Z22" s="15">
        <f t="shared" si="12"/>
        <v>12</v>
      </c>
      <c r="AA22" s="15">
        <f t="shared" si="13"/>
        <v>13</v>
      </c>
      <c r="AB22" s="15">
        <f t="shared" si="14"/>
        <v>14</v>
      </c>
    </row>
    <row r="23" spans="1:28" ht="24" customHeight="1" x14ac:dyDescent="0.2">
      <c r="A23" s="11"/>
      <c r="B23" s="8" t="s">
        <v>23</v>
      </c>
      <c r="C23" s="23">
        <f t="shared" si="0"/>
        <v>100</v>
      </c>
      <c r="D23" s="23">
        <f t="shared" si="1"/>
        <v>680</v>
      </c>
      <c r="E23" s="23">
        <f t="shared" si="2"/>
        <v>50</v>
      </c>
      <c r="F23" s="24">
        <v>55</v>
      </c>
      <c r="G23" s="18" t="s">
        <v>79</v>
      </c>
      <c r="H23" s="12">
        <f t="shared" si="3"/>
        <v>580</v>
      </c>
      <c r="I23" s="6">
        <f t="shared" si="4"/>
        <v>1</v>
      </c>
      <c r="J23" s="13">
        <f t="shared" si="5"/>
        <v>580</v>
      </c>
      <c r="K23" s="60" t="str">
        <f t="shared" si="15"/>
        <v>JUST</v>
      </c>
      <c r="L23" s="31">
        <f t="shared" si="16"/>
        <v>50</v>
      </c>
      <c r="M23" s="32" t="str">
        <f t="shared" si="17"/>
        <v>–</v>
      </c>
      <c r="N23" s="32" t="str">
        <f t="shared" si="18"/>
        <v>–</v>
      </c>
      <c r="O23" s="33" t="str">
        <f t="shared" si="19"/>
        <v>–</v>
      </c>
      <c r="P23" s="15">
        <f t="shared" si="6"/>
        <v>1</v>
      </c>
      <c r="Q23" s="15">
        <v>100</v>
      </c>
      <c r="R23" s="15">
        <v>680</v>
      </c>
      <c r="S23" s="15">
        <v>50</v>
      </c>
      <c r="T23" s="38">
        <f t="shared" si="7"/>
        <v>100</v>
      </c>
      <c r="U23" s="38">
        <f t="shared" si="8"/>
        <v>680</v>
      </c>
      <c r="V23" s="38">
        <f t="shared" si="9"/>
        <v>50</v>
      </c>
      <c r="W23" s="15">
        <f t="shared" si="10"/>
        <v>580</v>
      </c>
      <c r="X23" s="69">
        <f t="shared" si="20"/>
        <v>0</v>
      </c>
      <c r="Y23" s="15">
        <f t="shared" si="11"/>
        <v>50</v>
      </c>
      <c r="Z23" s="15">
        <f t="shared" si="12"/>
        <v>0</v>
      </c>
      <c r="AA23" s="15">
        <f t="shared" si="13"/>
        <v>0</v>
      </c>
      <c r="AB23" s="15">
        <f t="shared" si="14"/>
        <v>0</v>
      </c>
    </row>
    <row r="24" spans="1:28" ht="24" customHeight="1" x14ac:dyDescent="0.2">
      <c r="A24" s="11"/>
      <c r="B24" s="9" t="s">
        <v>75</v>
      </c>
      <c r="C24" s="23">
        <f t="shared" si="0"/>
        <v>1500</v>
      </c>
      <c r="D24" s="23">
        <f t="shared" si="1"/>
        <v>600</v>
      </c>
      <c r="E24" s="23">
        <f t="shared" si="2"/>
        <v>250</v>
      </c>
      <c r="F24" s="24">
        <v>800</v>
      </c>
      <c r="G24" s="18" t="s">
        <v>55</v>
      </c>
      <c r="H24" s="12">
        <f t="shared" si="3"/>
        <v>500</v>
      </c>
      <c r="I24" s="6" t="str">
        <f t="shared" si="4"/>
        <v>NaN</v>
      </c>
      <c r="J24" s="13" t="str">
        <f t="shared" si="5"/>
        <v>NaN</v>
      </c>
      <c r="K24" s="60" t="str">
        <f t="shared" si="15"/>
        <v>NaN</v>
      </c>
      <c r="L24" s="31">
        <f t="shared" si="16"/>
        <v>26</v>
      </c>
      <c r="M24" s="32">
        <f t="shared" si="17"/>
        <v>26</v>
      </c>
      <c r="N24" s="32">
        <f t="shared" si="18"/>
        <v>27</v>
      </c>
      <c r="O24" s="33">
        <f t="shared" si="19"/>
        <v>27</v>
      </c>
      <c r="P24" s="15">
        <f t="shared" si="6"/>
        <v>2</v>
      </c>
      <c r="Q24" s="15">
        <v>1500</v>
      </c>
      <c r="R24" s="15">
        <v>600</v>
      </c>
      <c r="S24" s="15">
        <v>250</v>
      </c>
      <c r="T24" s="38">
        <f t="shared" si="7"/>
        <v>1500</v>
      </c>
      <c r="U24" s="38">
        <f t="shared" si="8"/>
        <v>600</v>
      </c>
      <c r="V24" s="38">
        <f t="shared" si="9"/>
        <v>250</v>
      </c>
      <c r="W24" s="15">
        <f t="shared" si="10"/>
        <v>500</v>
      </c>
      <c r="X24" s="69">
        <f t="shared" si="20"/>
        <v>-1</v>
      </c>
      <c r="Y24" s="15">
        <f t="shared" si="11"/>
        <v>26</v>
      </c>
      <c r="Z24" s="15">
        <f t="shared" si="12"/>
        <v>26</v>
      </c>
      <c r="AA24" s="15">
        <f t="shared" si="13"/>
        <v>27</v>
      </c>
      <c r="AB24" s="15">
        <f t="shared" si="14"/>
        <v>27</v>
      </c>
    </row>
    <row r="25" spans="1:28" ht="24" customHeight="1" x14ac:dyDescent="0.2">
      <c r="A25" s="11"/>
      <c r="B25" s="8" t="s">
        <v>24</v>
      </c>
      <c r="C25" s="23">
        <f t="shared" si="0"/>
        <v>160</v>
      </c>
      <c r="D25" s="23">
        <f t="shared" si="1"/>
        <v>230</v>
      </c>
      <c r="E25" s="23">
        <f t="shared" si="2"/>
        <v>105</v>
      </c>
      <c r="F25" s="24">
        <v>65</v>
      </c>
      <c r="G25" s="18" t="s">
        <v>56</v>
      </c>
      <c r="H25" s="12">
        <f t="shared" si="3"/>
        <v>130</v>
      </c>
      <c r="I25" s="6" t="str">
        <f t="shared" si="4"/>
        <v>NaN</v>
      </c>
      <c r="J25" s="13" t="str">
        <f t="shared" si="5"/>
        <v>NaN</v>
      </c>
      <c r="K25" s="60" t="str">
        <f t="shared" si="15"/>
        <v>NaN</v>
      </c>
      <c r="L25" s="31">
        <f t="shared" si="16"/>
        <v>6</v>
      </c>
      <c r="M25" s="32">
        <f t="shared" si="17"/>
        <v>7</v>
      </c>
      <c r="N25" s="32">
        <f t="shared" si="18"/>
        <v>8</v>
      </c>
      <c r="O25" s="33">
        <f t="shared" si="19"/>
        <v>9</v>
      </c>
      <c r="P25" s="15">
        <f t="shared" si="6"/>
        <v>1</v>
      </c>
      <c r="Q25" s="15">
        <v>160</v>
      </c>
      <c r="R25" s="15">
        <v>230</v>
      </c>
      <c r="S25" s="15">
        <v>105</v>
      </c>
      <c r="T25" s="38">
        <f t="shared" si="7"/>
        <v>160</v>
      </c>
      <c r="U25" s="38">
        <f t="shared" si="8"/>
        <v>230</v>
      </c>
      <c r="V25" s="38">
        <f t="shared" si="9"/>
        <v>105</v>
      </c>
      <c r="W25" s="15">
        <f t="shared" si="10"/>
        <v>130</v>
      </c>
      <c r="X25" s="69">
        <f t="shared" si="20"/>
        <v>-1</v>
      </c>
      <c r="Y25" s="15">
        <f t="shared" si="11"/>
        <v>6</v>
      </c>
      <c r="Z25" s="15">
        <f t="shared" si="12"/>
        <v>7</v>
      </c>
      <c r="AA25" s="15">
        <f t="shared" si="13"/>
        <v>8</v>
      </c>
      <c r="AB25" s="15">
        <f t="shared" si="14"/>
        <v>9</v>
      </c>
    </row>
    <row r="26" spans="1:28" ht="24" customHeight="1" x14ac:dyDescent="0.2">
      <c r="A26" s="11"/>
      <c r="B26" s="8" t="s">
        <v>25</v>
      </c>
      <c r="C26" s="23">
        <f t="shared" si="0"/>
        <v>120</v>
      </c>
      <c r="D26" s="23">
        <f t="shared" si="1"/>
        <v>150</v>
      </c>
      <c r="E26" s="23">
        <f t="shared" si="2"/>
        <v>50</v>
      </c>
      <c r="F26" s="24">
        <v>100</v>
      </c>
      <c r="G26" s="18" t="s">
        <v>57</v>
      </c>
      <c r="H26" s="12">
        <f t="shared" si="3"/>
        <v>50</v>
      </c>
      <c r="I26" s="6">
        <f t="shared" si="4"/>
        <v>2</v>
      </c>
      <c r="J26" s="13">
        <f t="shared" si="5"/>
        <v>100</v>
      </c>
      <c r="K26" s="60" t="str">
        <f t="shared" si="15"/>
        <v>−10</v>
      </c>
      <c r="L26" s="31">
        <f t="shared" si="16"/>
        <v>10</v>
      </c>
      <c r="M26" s="32">
        <f t="shared" si="17"/>
        <v>70</v>
      </c>
      <c r="N26" s="32" t="str">
        <f t="shared" si="18"/>
        <v>–</v>
      </c>
      <c r="O26" s="33" t="str">
        <f t="shared" si="19"/>
        <v>–</v>
      </c>
      <c r="P26" s="15">
        <f t="shared" si="6"/>
        <v>1</v>
      </c>
      <c r="Q26" s="15">
        <v>120</v>
      </c>
      <c r="R26" s="15">
        <v>150</v>
      </c>
      <c r="S26" s="15">
        <v>50</v>
      </c>
      <c r="T26" s="38">
        <f t="shared" si="7"/>
        <v>120</v>
      </c>
      <c r="U26" s="38">
        <f t="shared" si="8"/>
        <v>150</v>
      </c>
      <c r="V26" s="38">
        <f t="shared" si="9"/>
        <v>50</v>
      </c>
      <c r="W26" s="15">
        <f t="shared" si="10"/>
        <v>50</v>
      </c>
      <c r="X26" s="69">
        <f t="shared" si="20"/>
        <v>10</v>
      </c>
      <c r="Y26" s="15">
        <f t="shared" si="11"/>
        <v>10</v>
      </c>
      <c r="Z26" s="15">
        <f t="shared" si="12"/>
        <v>70</v>
      </c>
      <c r="AA26" s="15">
        <f t="shared" si="13"/>
        <v>0</v>
      </c>
      <c r="AB26" s="15">
        <f t="shared" si="14"/>
        <v>0</v>
      </c>
    </row>
    <row r="27" spans="1:28" ht="24" customHeight="1" x14ac:dyDescent="0.2">
      <c r="A27" s="11"/>
      <c r="B27" s="8" t="s">
        <v>27</v>
      </c>
      <c r="C27" s="23">
        <f t="shared" si="0"/>
        <v>220</v>
      </c>
      <c r="D27" s="23">
        <f t="shared" si="1"/>
        <v>370</v>
      </c>
      <c r="E27" s="23">
        <f t="shared" si="2"/>
        <v>110</v>
      </c>
      <c r="F27" s="24">
        <v>80</v>
      </c>
      <c r="G27" s="18" t="s">
        <v>58</v>
      </c>
      <c r="H27" s="12">
        <f t="shared" si="3"/>
        <v>270</v>
      </c>
      <c r="I27" s="6" t="str">
        <f t="shared" si="4"/>
        <v>NaN</v>
      </c>
      <c r="J27" s="13" t="str">
        <f t="shared" si="5"/>
        <v>NaN</v>
      </c>
      <c r="K27" s="60" t="str">
        <f t="shared" si="15"/>
        <v>NaN</v>
      </c>
      <c r="L27" s="31">
        <f t="shared" si="16"/>
        <v>11</v>
      </c>
      <c r="M27" s="32">
        <f t="shared" si="17"/>
        <v>12</v>
      </c>
      <c r="N27" s="32">
        <f t="shared" si="18"/>
        <v>13</v>
      </c>
      <c r="O27" s="33">
        <f t="shared" si="19"/>
        <v>14</v>
      </c>
      <c r="P27" s="15">
        <f t="shared" si="6"/>
        <v>1</v>
      </c>
      <c r="Q27" s="15">
        <v>220</v>
      </c>
      <c r="R27" s="15">
        <v>370</v>
      </c>
      <c r="S27" s="15">
        <v>110</v>
      </c>
      <c r="T27" s="38">
        <f t="shared" si="7"/>
        <v>220</v>
      </c>
      <c r="U27" s="38">
        <f t="shared" si="8"/>
        <v>370</v>
      </c>
      <c r="V27" s="38">
        <f t="shared" si="9"/>
        <v>110</v>
      </c>
      <c r="W27" s="15">
        <f t="shared" si="10"/>
        <v>270</v>
      </c>
      <c r="X27" s="69">
        <f t="shared" si="20"/>
        <v>-1</v>
      </c>
      <c r="Y27" s="15">
        <f t="shared" si="11"/>
        <v>11</v>
      </c>
      <c r="Z27" s="15">
        <f t="shared" si="12"/>
        <v>12</v>
      </c>
      <c r="AA27" s="15">
        <f t="shared" si="13"/>
        <v>13</v>
      </c>
      <c r="AB27" s="15">
        <f t="shared" si="14"/>
        <v>14</v>
      </c>
    </row>
    <row r="28" spans="1:28" ht="24" customHeight="1" x14ac:dyDescent="0.2">
      <c r="A28" s="11"/>
      <c r="B28" s="8" t="s">
        <v>26</v>
      </c>
      <c r="C28" s="23">
        <f t="shared" si="0"/>
        <v>200</v>
      </c>
      <c r="D28" s="23">
        <f t="shared" si="1"/>
        <v>380</v>
      </c>
      <c r="E28" s="23">
        <f t="shared" si="2"/>
        <v>130</v>
      </c>
      <c r="F28" s="24">
        <v>90</v>
      </c>
      <c r="G28" s="18" t="s">
        <v>59</v>
      </c>
      <c r="H28" s="12">
        <f t="shared" si="3"/>
        <v>280</v>
      </c>
      <c r="I28" s="6" t="str">
        <f t="shared" si="4"/>
        <v>NaN</v>
      </c>
      <c r="J28" s="13" t="str">
        <f t="shared" si="5"/>
        <v>NaN</v>
      </c>
      <c r="K28" s="60" t="str">
        <f t="shared" si="15"/>
        <v>NaN</v>
      </c>
      <c r="L28" s="31">
        <f t="shared" si="16"/>
        <v>31</v>
      </c>
      <c r="M28" s="32">
        <f t="shared" si="17"/>
        <v>32</v>
      </c>
      <c r="N28" s="32">
        <f t="shared" si="18"/>
        <v>33</v>
      </c>
      <c r="O28" s="33">
        <f t="shared" si="19"/>
        <v>34</v>
      </c>
      <c r="P28" s="15">
        <f t="shared" si="6"/>
        <v>1</v>
      </c>
      <c r="Q28" s="15">
        <v>200</v>
      </c>
      <c r="R28" s="15">
        <v>380</v>
      </c>
      <c r="S28" s="15">
        <v>130</v>
      </c>
      <c r="T28" s="38">
        <f t="shared" si="7"/>
        <v>200</v>
      </c>
      <c r="U28" s="38">
        <f t="shared" si="8"/>
        <v>380</v>
      </c>
      <c r="V28" s="38">
        <f t="shared" si="9"/>
        <v>130</v>
      </c>
      <c r="W28" s="15">
        <f t="shared" si="10"/>
        <v>280</v>
      </c>
      <c r="X28" s="69">
        <f t="shared" si="20"/>
        <v>-1</v>
      </c>
      <c r="Y28" s="15">
        <f t="shared" si="11"/>
        <v>31</v>
      </c>
      <c r="Z28" s="15">
        <f t="shared" si="12"/>
        <v>32</v>
      </c>
      <c r="AA28" s="15">
        <f t="shared" si="13"/>
        <v>33</v>
      </c>
      <c r="AB28" s="15">
        <f t="shared" si="14"/>
        <v>34</v>
      </c>
    </row>
    <row r="29" spans="1:28" ht="24" customHeight="1" x14ac:dyDescent="0.2">
      <c r="A29" s="10"/>
      <c r="B29" s="7" t="s">
        <v>28</v>
      </c>
      <c r="C29" s="23">
        <f t="shared" si="0"/>
        <v>360</v>
      </c>
      <c r="D29" s="23">
        <f t="shared" si="1"/>
        <v>310</v>
      </c>
      <c r="E29" s="23">
        <f t="shared" si="2"/>
        <v>20</v>
      </c>
      <c r="F29" s="24">
        <v>40</v>
      </c>
      <c r="G29" s="18" t="s">
        <v>58</v>
      </c>
      <c r="H29" s="12">
        <f t="shared" si="3"/>
        <v>210</v>
      </c>
      <c r="I29" s="6">
        <f t="shared" si="4"/>
        <v>4</v>
      </c>
      <c r="J29" s="13">
        <f t="shared" si="5"/>
        <v>840</v>
      </c>
      <c r="K29" s="60" t="str">
        <f t="shared" si="15"/>
        <v>−8</v>
      </c>
      <c r="L29" s="31">
        <f t="shared" si="16"/>
        <v>10</v>
      </c>
      <c r="M29" s="32">
        <f t="shared" si="17"/>
        <v>40</v>
      </c>
      <c r="N29" s="32">
        <f t="shared" si="18"/>
        <v>100</v>
      </c>
      <c r="O29" s="33">
        <f t="shared" si="19"/>
        <v>280</v>
      </c>
      <c r="P29" s="15">
        <f t="shared" si="6"/>
        <v>1</v>
      </c>
      <c r="Q29" s="15">
        <v>360</v>
      </c>
      <c r="R29" s="15">
        <v>310</v>
      </c>
      <c r="S29" s="15">
        <v>20</v>
      </c>
      <c r="T29" s="38">
        <f t="shared" si="7"/>
        <v>360</v>
      </c>
      <c r="U29" s="38">
        <f t="shared" si="8"/>
        <v>310</v>
      </c>
      <c r="V29" s="38">
        <f t="shared" si="9"/>
        <v>20</v>
      </c>
      <c r="W29" s="15">
        <f t="shared" si="10"/>
        <v>210</v>
      </c>
      <c r="X29" s="69">
        <f t="shared" si="20"/>
        <v>8</v>
      </c>
      <c r="Y29" s="15">
        <f t="shared" si="11"/>
        <v>10</v>
      </c>
      <c r="Z29" s="15">
        <f t="shared" si="12"/>
        <v>40</v>
      </c>
      <c r="AA29" s="15">
        <f t="shared" si="13"/>
        <v>100</v>
      </c>
      <c r="AB29" s="15">
        <f t="shared" si="14"/>
        <v>280</v>
      </c>
    </row>
    <row r="30" spans="1:28" ht="24" customHeight="1" x14ac:dyDescent="0.2">
      <c r="A30" s="10"/>
      <c r="B30" s="7" t="s">
        <v>29</v>
      </c>
      <c r="C30" s="23">
        <f t="shared" si="0"/>
        <v>200</v>
      </c>
      <c r="D30" s="23">
        <f t="shared" si="1"/>
        <v>390</v>
      </c>
      <c r="E30" s="23">
        <f t="shared" si="2"/>
        <v>90</v>
      </c>
      <c r="F30" s="24">
        <v>50</v>
      </c>
      <c r="G30" s="18" t="s">
        <v>58</v>
      </c>
      <c r="H30" s="12">
        <f t="shared" si="3"/>
        <v>290</v>
      </c>
      <c r="I30" s="6">
        <f t="shared" si="4"/>
        <v>19</v>
      </c>
      <c r="J30" s="13">
        <f t="shared" si="5"/>
        <v>5510</v>
      </c>
      <c r="K30" s="60" t="str">
        <f t="shared" si="15"/>
        <v>JUST</v>
      </c>
      <c r="L30" s="31">
        <f t="shared" si="16"/>
        <v>1</v>
      </c>
      <c r="M30" s="32">
        <f t="shared" si="17"/>
        <v>2</v>
      </c>
      <c r="N30" s="32">
        <f t="shared" si="18"/>
        <v>2</v>
      </c>
      <c r="O30" s="33">
        <f t="shared" si="19"/>
        <v>3</v>
      </c>
      <c r="P30" s="15">
        <f t="shared" si="6"/>
        <v>1</v>
      </c>
      <c r="Q30" s="15">
        <v>200</v>
      </c>
      <c r="R30" s="15">
        <v>390</v>
      </c>
      <c r="S30" s="15">
        <v>90</v>
      </c>
      <c r="T30" s="38">
        <f t="shared" si="7"/>
        <v>200</v>
      </c>
      <c r="U30" s="38">
        <f t="shared" si="8"/>
        <v>390</v>
      </c>
      <c r="V30" s="38">
        <f t="shared" si="9"/>
        <v>90</v>
      </c>
      <c r="W30" s="15">
        <f t="shared" si="10"/>
        <v>290</v>
      </c>
      <c r="X30" s="69">
        <f t="shared" si="20"/>
        <v>0</v>
      </c>
      <c r="Y30" s="15">
        <f t="shared" si="11"/>
        <v>1</v>
      </c>
      <c r="Z30" s="15">
        <f t="shared" si="12"/>
        <v>2</v>
      </c>
      <c r="AA30" s="15">
        <f t="shared" si="13"/>
        <v>2</v>
      </c>
      <c r="AB30" s="15">
        <f t="shared" si="14"/>
        <v>3</v>
      </c>
    </row>
    <row r="31" spans="1:28" ht="24" customHeight="1" x14ac:dyDescent="0.2">
      <c r="A31" s="11"/>
      <c r="B31" s="8" t="s">
        <v>30</v>
      </c>
      <c r="C31" s="23">
        <f t="shared" si="0"/>
        <v>180</v>
      </c>
      <c r="D31" s="23">
        <f t="shared" si="1"/>
        <v>430</v>
      </c>
      <c r="E31" s="23">
        <f t="shared" si="2"/>
        <v>210</v>
      </c>
      <c r="F31" s="24">
        <v>120</v>
      </c>
      <c r="G31" s="18" t="s">
        <v>60</v>
      </c>
      <c r="H31" s="12">
        <f t="shared" si="3"/>
        <v>330</v>
      </c>
      <c r="I31" s="6" t="str">
        <f t="shared" si="4"/>
        <v>NaN</v>
      </c>
      <c r="J31" s="13" t="str">
        <f t="shared" si="5"/>
        <v>NaN</v>
      </c>
      <c r="K31" s="60" t="str">
        <f t="shared" si="15"/>
        <v>NaN</v>
      </c>
      <c r="L31" s="31">
        <f t="shared" si="16"/>
        <v>111</v>
      </c>
      <c r="M31" s="32">
        <f t="shared" si="17"/>
        <v>112</v>
      </c>
      <c r="N31" s="32">
        <f t="shared" si="18"/>
        <v>113</v>
      </c>
      <c r="O31" s="33">
        <f t="shared" si="19"/>
        <v>114</v>
      </c>
      <c r="P31" s="15">
        <f t="shared" si="6"/>
        <v>1</v>
      </c>
      <c r="Q31" s="15">
        <v>180</v>
      </c>
      <c r="R31" s="15">
        <v>430</v>
      </c>
      <c r="S31" s="15">
        <v>210</v>
      </c>
      <c r="T31" s="38">
        <f t="shared" si="7"/>
        <v>180</v>
      </c>
      <c r="U31" s="38">
        <f t="shared" si="8"/>
        <v>430</v>
      </c>
      <c r="V31" s="38">
        <f t="shared" si="9"/>
        <v>210</v>
      </c>
      <c r="W31" s="15">
        <f t="shared" si="10"/>
        <v>330</v>
      </c>
      <c r="X31" s="69">
        <f t="shared" si="20"/>
        <v>-1</v>
      </c>
      <c r="Y31" s="15">
        <f t="shared" si="11"/>
        <v>111</v>
      </c>
      <c r="Z31" s="15">
        <f t="shared" si="12"/>
        <v>112</v>
      </c>
      <c r="AA31" s="15">
        <f t="shared" si="13"/>
        <v>113</v>
      </c>
      <c r="AB31" s="15">
        <f t="shared" si="14"/>
        <v>114</v>
      </c>
    </row>
    <row r="32" spans="1:28" ht="24" customHeight="1" x14ac:dyDescent="0.2">
      <c r="A32" s="11"/>
      <c r="B32" s="8" t="s">
        <v>31</v>
      </c>
      <c r="C32" s="23">
        <f t="shared" si="0"/>
        <v>230</v>
      </c>
      <c r="D32" s="23">
        <f t="shared" si="1"/>
        <v>450</v>
      </c>
      <c r="E32" s="23">
        <f t="shared" si="2"/>
        <v>100</v>
      </c>
      <c r="F32" s="24">
        <v>100</v>
      </c>
      <c r="G32" s="18" t="s">
        <v>61</v>
      </c>
      <c r="H32" s="12">
        <f t="shared" si="3"/>
        <v>350</v>
      </c>
      <c r="I32" s="6" t="str">
        <f t="shared" si="4"/>
        <v>NaN</v>
      </c>
      <c r="J32" s="13" t="str">
        <f t="shared" si="5"/>
        <v>NaN</v>
      </c>
      <c r="K32" s="60" t="str">
        <f t="shared" si="15"/>
        <v>NaN</v>
      </c>
      <c r="L32" s="31">
        <f t="shared" si="16"/>
        <v>1</v>
      </c>
      <c r="M32" s="32">
        <f t="shared" si="17"/>
        <v>2</v>
      </c>
      <c r="N32" s="32">
        <f t="shared" si="18"/>
        <v>3</v>
      </c>
      <c r="O32" s="33">
        <f t="shared" si="19"/>
        <v>4</v>
      </c>
      <c r="P32" s="15">
        <f t="shared" si="6"/>
        <v>1</v>
      </c>
      <c r="Q32" s="15">
        <v>230</v>
      </c>
      <c r="R32" s="15">
        <v>450</v>
      </c>
      <c r="S32" s="15">
        <v>100</v>
      </c>
      <c r="T32" s="38">
        <f t="shared" si="7"/>
        <v>230</v>
      </c>
      <c r="U32" s="38">
        <f t="shared" si="8"/>
        <v>450</v>
      </c>
      <c r="V32" s="38">
        <f t="shared" si="9"/>
        <v>100</v>
      </c>
      <c r="W32" s="15">
        <f t="shared" si="10"/>
        <v>350</v>
      </c>
      <c r="X32" s="69">
        <f t="shared" si="20"/>
        <v>-1</v>
      </c>
      <c r="Y32" s="15">
        <f t="shared" si="11"/>
        <v>1</v>
      </c>
      <c r="Z32" s="15">
        <f t="shared" si="12"/>
        <v>2</v>
      </c>
      <c r="AA32" s="15">
        <f t="shared" si="13"/>
        <v>3</v>
      </c>
      <c r="AB32" s="15">
        <f t="shared" si="14"/>
        <v>4</v>
      </c>
    </row>
    <row r="33" spans="1:28" ht="24" customHeight="1" x14ac:dyDescent="0.2">
      <c r="A33" s="11"/>
      <c r="B33" s="8" t="s">
        <v>32</v>
      </c>
      <c r="C33" s="23">
        <f t="shared" si="0"/>
        <v>180</v>
      </c>
      <c r="D33" s="23">
        <f t="shared" si="1"/>
        <v>460</v>
      </c>
      <c r="E33" s="23">
        <f t="shared" si="2"/>
        <v>360</v>
      </c>
      <c r="F33" s="24">
        <v>200</v>
      </c>
      <c r="G33" s="18" t="s">
        <v>62</v>
      </c>
      <c r="H33" s="12">
        <f t="shared" si="3"/>
        <v>360</v>
      </c>
      <c r="I33" s="6" t="str">
        <f t="shared" si="4"/>
        <v>NaN</v>
      </c>
      <c r="J33" s="13" t="str">
        <f t="shared" si="5"/>
        <v>NaN</v>
      </c>
      <c r="K33" s="60" t="str">
        <f t="shared" si="15"/>
        <v>NaN</v>
      </c>
      <c r="L33" s="31">
        <f t="shared" si="16"/>
        <v>261</v>
      </c>
      <c r="M33" s="32">
        <f t="shared" si="17"/>
        <v>262</v>
      </c>
      <c r="N33" s="32">
        <f t="shared" si="18"/>
        <v>263</v>
      </c>
      <c r="O33" s="33">
        <f t="shared" si="19"/>
        <v>264</v>
      </c>
      <c r="P33" s="15">
        <f t="shared" si="6"/>
        <v>1</v>
      </c>
      <c r="Q33" s="15">
        <v>180</v>
      </c>
      <c r="R33" s="15">
        <v>460</v>
      </c>
      <c r="S33" s="15">
        <v>360</v>
      </c>
      <c r="T33" s="38">
        <f t="shared" si="7"/>
        <v>180</v>
      </c>
      <c r="U33" s="38">
        <f t="shared" si="8"/>
        <v>460</v>
      </c>
      <c r="V33" s="38">
        <f t="shared" si="9"/>
        <v>360</v>
      </c>
      <c r="W33" s="15">
        <f t="shared" si="10"/>
        <v>360</v>
      </c>
      <c r="X33" s="69">
        <f t="shared" si="20"/>
        <v>-1</v>
      </c>
      <c r="Y33" s="15">
        <f t="shared" si="11"/>
        <v>261</v>
      </c>
      <c r="Z33" s="15">
        <f t="shared" si="12"/>
        <v>262</v>
      </c>
      <c r="AA33" s="15">
        <f t="shared" si="13"/>
        <v>263</v>
      </c>
      <c r="AB33" s="15">
        <f t="shared" si="14"/>
        <v>264</v>
      </c>
    </row>
    <row r="34" spans="1:28" ht="24" customHeight="1" x14ac:dyDescent="0.2">
      <c r="A34" s="11"/>
      <c r="B34" s="9" t="s">
        <v>33</v>
      </c>
      <c r="C34" s="23">
        <f t="shared" si="0"/>
        <v>800</v>
      </c>
      <c r="D34" s="23">
        <f t="shared" si="1"/>
        <v>500</v>
      </c>
      <c r="E34" s="23">
        <f t="shared" si="2"/>
        <v>100</v>
      </c>
      <c r="F34" s="24">
        <v>500</v>
      </c>
      <c r="G34" s="18" t="s">
        <v>63</v>
      </c>
      <c r="H34" s="12">
        <f t="shared" si="3"/>
        <v>400</v>
      </c>
      <c r="I34" s="6" t="str">
        <f t="shared" si="4"/>
        <v>NaN</v>
      </c>
      <c r="J34" s="13" t="str">
        <f t="shared" si="5"/>
        <v>NaN</v>
      </c>
      <c r="K34" s="60" t="str">
        <f t="shared" si="15"/>
        <v>NaN</v>
      </c>
      <c r="L34" s="31">
        <f t="shared" si="16"/>
        <v>1</v>
      </c>
      <c r="M34" s="32">
        <f t="shared" si="17"/>
        <v>2</v>
      </c>
      <c r="N34" s="32">
        <f t="shared" si="18"/>
        <v>3</v>
      </c>
      <c r="O34" s="33">
        <f t="shared" si="19"/>
        <v>4</v>
      </c>
      <c r="P34" s="15">
        <f t="shared" si="6"/>
        <v>1</v>
      </c>
      <c r="Q34" s="15">
        <v>800</v>
      </c>
      <c r="R34" s="15">
        <v>500</v>
      </c>
      <c r="S34" s="15">
        <v>100</v>
      </c>
      <c r="T34" s="38">
        <f t="shared" si="7"/>
        <v>800</v>
      </c>
      <c r="U34" s="38">
        <f t="shared" si="8"/>
        <v>500</v>
      </c>
      <c r="V34" s="38">
        <f t="shared" si="9"/>
        <v>100</v>
      </c>
      <c r="W34" s="15">
        <f t="shared" si="10"/>
        <v>400</v>
      </c>
      <c r="X34" s="69">
        <f t="shared" si="20"/>
        <v>-1</v>
      </c>
      <c r="Y34" s="15">
        <f t="shared" si="11"/>
        <v>1</v>
      </c>
      <c r="Z34" s="15">
        <f t="shared" si="12"/>
        <v>2</v>
      </c>
      <c r="AA34" s="15">
        <f t="shared" si="13"/>
        <v>3</v>
      </c>
      <c r="AB34" s="15">
        <f t="shared" si="14"/>
        <v>4</v>
      </c>
    </row>
    <row r="35" spans="1:28" ht="24" customHeight="1" thickBot="1" x14ac:dyDescent="0.25">
      <c r="A35" s="11"/>
      <c r="B35" s="8" t="s">
        <v>66</v>
      </c>
      <c r="C35" s="23">
        <f t="shared" si="0"/>
        <v>1000</v>
      </c>
      <c r="D35" s="23">
        <f t="shared" si="1"/>
        <v>625</v>
      </c>
      <c r="E35" s="23">
        <f t="shared" si="2"/>
        <v>125</v>
      </c>
      <c r="F35" s="24">
        <v>500</v>
      </c>
      <c r="G35" s="18" t="s">
        <v>64</v>
      </c>
      <c r="H35" s="12">
        <f t="shared" si="3"/>
        <v>525</v>
      </c>
      <c r="I35" s="6" t="str">
        <f t="shared" si="4"/>
        <v>NaN</v>
      </c>
      <c r="J35" s="13" t="str">
        <f t="shared" si="5"/>
        <v>NaN</v>
      </c>
      <c r="K35" s="60" t="str">
        <f t="shared" si="15"/>
        <v>NaN</v>
      </c>
      <c r="L35" s="31">
        <f t="shared" si="16"/>
        <v>26</v>
      </c>
      <c r="M35" s="32">
        <f t="shared" si="17"/>
        <v>27</v>
      </c>
      <c r="N35" s="32">
        <f t="shared" si="18"/>
        <v>28</v>
      </c>
      <c r="O35" s="33">
        <f t="shared" si="19"/>
        <v>29</v>
      </c>
      <c r="P35" s="15">
        <f t="shared" si="6"/>
        <v>1</v>
      </c>
      <c r="Q35" s="15">
        <v>1000</v>
      </c>
      <c r="R35" s="15">
        <v>625</v>
      </c>
      <c r="S35" s="15">
        <v>125</v>
      </c>
      <c r="T35" s="38">
        <f>Q35*($A$1*43-42)</f>
        <v>1000</v>
      </c>
      <c r="U35" s="38">
        <f t="shared" ref="U35:V35" si="21">R35*($A$1*43-42)</f>
        <v>625</v>
      </c>
      <c r="V35" s="38">
        <f t="shared" si="21"/>
        <v>125</v>
      </c>
      <c r="W35" s="15">
        <f t="shared" si="10"/>
        <v>525</v>
      </c>
      <c r="X35" s="69">
        <f t="shared" si="20"/>
        <v>-1</v>
      </c>
      <c r="Y35" s="15">
        <f t="shared" si="11"/>
        <v>26</v>
      </c>
      <c r="Z35" s="15">
        <f t="shared" si="12"/>
        <v>27</v>
      </c>
      <c r="AA35" s="15">
        <f t="shared" si="13"/>
        <v>28</v>
      </c>
      <c r="AB35" s="15">
        <f t="shared" si="14"/>
        <v>29</v>
      </c>
    </row>
    <row r="36" spans="1:28" hidden="1" x14ac:dyDescent="0.2">
      <c r="A36" s="25" t="s">
        <v>77</v>
      </c>
    </row>
    <row r="37" spans="1:28" x14ac:dyDescent="0.2">
      <c r="A37" s="61" t="s">
        <v>78</v>
      </c>
      <c r="B37" s="62"/>
      <c r="C37" s="63"/>
      <c r="D37" s="63"/>
      <c r="E37" s="63"/>
      <c r="F37" s="64"/>
      <c r="G37" s="65"/>
      <c r="H37" s="66"/>
      <c r="I37" s="67"/>
      <c r="J37" s="66"/>
      <c r="K37" s="67"/>
      <c r="L37" s="67"/>
      <c r="M37" s="67"/>
      <c r="N37" s="67"/>
      <c r="O37" s="68"/>
    </row>
    <row r="38" spans="1:28" x14ac:dyDescent="0.2">
      <c r="A38" s="27" t="s">
        <v>87</v>
      </c>
      <c r="C38" s="26"/>
      <c r="D38" s="26"/>
      <c r="E38" s="26"/>
      <c r="F38" s="26"/>
      <c r="G38" s="26"/>
      <c r="H38" s="26"/>
      <c r="I38" s="26"/>
      <c r="J38" s="26"/>
      <c r="K38" s="26"/>
      <c r="L38" s="26"/>
      <c r="M38" s="26"/>
      <c r="N38" s="26"/>
    </row>
    <row r="39" spans="1:28" x14ac:dyDescent="0.2">
      <c r="A39" s="29">
        <v>1</v>
      </c>
      <c r="B39" s="28" t="s">
        <v>81</v>
      </c>
      <c r="C39" s="26"/>
      <c r="D39" s="26"/>
      <c r="E39" s="26"/>
      <c r="F39" s="26"/>
      <c r="G39" s="26"/>
      <c r="H39" s="26"/>
      <c r="I39" s="26"/>
      <c r="J39" s="26"/>
      <c r="K39" s="26"/>
      <c r="L39" s="26"/>
      <c r="M39" s="26"/>
      <c r="N39" s="26"/>
    </row>
    <row r="40" spans="1:28" x14ac:dyDescent="0.2">
      <c r="A40" s="29">
        <v>2</v>
      </c>
      <c r="B40" s="26" t="str">
        <f>"After opening TSW, click the ""lnk2TSW"" button (in cell O1) to automatically get all the game data and refresh every " &amp;  AF1 &amp; " seconds (defined in cell AF1)."</f>
        <v>After opening TSW, click the "lnk2TSW" button (in cell O1) to automatically get all the game data and refresh every 2 seconds (defined in cell AF1).</v>
      </c>
    </row>
    <row r="41" spans="1:28" x14ac:dyDescent="0.2">
      <c r="A41" s="29">
        <v>3</v>
      </c>
      <c r="B41" s="28" t="s">
        <v>86</v>
      </c>
    </row>
    <row r="42" spans="1:28" x14ac:dyDescent="0.2">
      <c r="A42" s="29">
        <v>4</v>
      </c>
      <c r="B42" s="28" t="s">
        <v>82</v>
      </c>
    </row>
    <row r="43" spans="1:28" x14ac:dyDescent="0.2">
      <c r="A43" s="29">
        <v>5</v>
      </c>
      <c r="B43" s="28" t="s">
        <v>88</v>
      </c>
    </row>
    <row r="44" spans="1:28" x14ac:dyDescent="0.2">
      <c r="A44" s="29">
        <v>6</v>
      </c>
      <c r="B44" s="28" t="s">
        <v>94</v>
      </c>
    </row>
    <row r="45" spans="1:28" x14ac:dyDescent="0.2">
      <c r="A45" s="29">
        <v>7</v>
      </c>
      <c r="B45" s="28" t="s">
        <v>83</v>
      </c>
    </row>
    <row r="46" spans="1:28" x14ac:dyDescent="0.2">
      <c r="A46" s="29">
        <v>8</v>
      </c>
      <c r="B46" s="28" t="s">
        <v>91</v>
      </c>
    </row>
    <row r="47" spans="1:28" x14ac:dyDescent="0.2">
      <c r="A47" s="29">
        <v>9</v>
      </c>
      <c r="B47" s="28" t="s">
        <v>84</v>
      </c>
    </row>
    <row r="48" spans="1:28" x14ac:dyDescent="0.2">
      <c r="A48" s="29">
        <v>10</v>
      </c>
      <c r="B48" s="28" t="s">
        <v>85</v>
      </c>
    </row>
    <row r="49" spans="1:2" x14ac:dyDescent="0.2">
      <c r="A49" s="29">
        <v>11</v>
      </c>
      <c r="B49" s="39" t="s">
        <v>92</v>
      </c>
    </row>
  </sheetData>
  <mergeCells count="1">
    <mergeCell ref="L1:O1"/>
  </mergeCells>
  <phoneticPr fontId="13" type="noConversion"/>
  <conditionalFormatting sqref="H2:J35 L2:O35">
    <cfRule type="expression" dxfId="3" priority="5">
      <formula>$P2-1</formula>
    </cfRule>
  </conditionalFormatting>
  <conditionalFormatting sqref="K3:K34">
    <cfRule type="expression" dxfId="2" priority="3">
      <formula>$P3-1</formula>
    </cfRule>
  </conditionalFormatting>
  <conditionalFormatting sqref="K35">
    <cfRule type="expression" dxfId="1" priority="2">
      <formula>$P35-1</formula>
    </cfRule>
  </conditionalFormatting>
  <conditionalFormatting sqref="K2">
    <cfRule type="expression" dxfId="0" priority="1">
      <formula>$P2-1</formula>
    </cfRule>
  </conditionalFormatting>
  <pageMargins left="0.7" right="0.7" top="0.75" bottom="0.75" header="0.3" footer="0.3"/>
  <pageSetup orientation="portrait" r:id="rId1"/>
  <ignoredErrors>
    <ignoredError sqref="G9 G16:G18 G24 G33:G35" numberStoredAsText="1"/>
  </ignoredErrors>
  <drawing r:id="rId2"/>
  <legacyDrawing r:id="rId3"/>
  <controls>
    <mc:AlternateContent xmlns:mc="http://schemas.openxmlformats.org/markup-compatibility/2006">
      <mc:Choice Requires="x14">
        <control shapeId="1069" r:id="rId4" name="CheckBox2">
          <controlPr defaultSize="0" disabled="1" autoFill="0" autoLine="0" r:id="rId5">
            <anchor moveWithCells="1">
              <from>
                <xdr:col>16</xdr:col>
                <xdr:colOff>0</xdr:colOff>
                <xdr:row>0</xdr:row>
                <xdr:rowOff>0</xdr:rowOff>
              </from>
              <to>
                <xdr:col>20</xdr:col>
                <xdr:colOff>0</xdr:colOff>
                <xdr:row>1</xdr:row>
                <xdr:rowOff>0</xdr:rowOff>
              </to>
            </anchor>
          </controlPr>
        </control>
      </mc:Choice>
      <mc:Fallback>
        <control shapeId="1069" r:id="rId4" name="CheckBox2"/>
      </mc:Fallback>
    </mc:AlternateContent>
    <mc:AlternateContent xmlns:mc="http://schemas.openxmlformats.org/markup-compatibility/2006">
      <mc:Choice Requires="x14">
        <control shapeId="1035" r:id="rId6" name="CheckBox1">
          <controlPr defaultSize="0" disabled="1" autoLine="0" autoPict="0" r:id="rId7">
            <anchor moveWithCells="1">
              <from>
                <xdr:col>15</xdr:col>
                <xdr:colOff>0</xdr:colOff>
                <xdr:row>0</xdr:row>
                <xdr:rowOff>0</xdr:rowOff>
              </from>
              <to>
                <xdr:col>16</xdr:col>
                <xdr:colOff>0</xdr:colOff>
                <xdr:row>1</xdr:row>
                <xdr:rowOff>0</xdr:rowOff>
              </to>
            </anchor>
          </controlPr>
        </control>
      </mc:Choice>
      <mc:Fallback>
        <control shapeId="1035" r:id="rId6" name="CheckBox1"/>
      </mc:Fallback>
    </mc:AlternateContent>
    <mc:AlternateContent xmlns:mc="http://schemas.openxmlformats.org/markup-compatibility/2006">
      <mc:Choice Requires="x14">
        <control shapeId="1034" r:id="rId8" name="CommandButton1">
          <controlPr defaultSize="0" autoLine="0" r:id="rId9">
            <anchor moveWithCells="1">
              <from>
                <xdr:col>14</xdr:col>
                <xdr:colOff>0</xdr:colOff>
                <xdr:row>0</xdr:row>
                <xdr:rowOff>0</xdr:rowOff>
              </from>
              <to>
                <xdr:col>15</xdr:col>
                <xdr:colOff>0</xdr:colOff>
                <xdr:row>1</xdr:row>
                <xdr:rowOff>0</xdr:rowOff>
              </to>
            </anchor>
          </controlPr>
        </control>
      </mc:Choice>
      <mc:Fallback>
        <control shapeId="1034" r:id="rId8" name="CommandButton1"/>
      </mc:Fallback>
    </mc:AlternateContent>
    <mc:AlternateContent xmlns:mc="http://schemas.openxmlformats.org/markup-compatibility/2006">
      <mc:Choice Requires="x14">
        <control shapeId="1071" r:id="rId10" name="SpinButton1">
          <controlPr defaultSize="0" autoFill="0" autoLine="0" r:id="rId11">
            <anchor moveWithCells="1">
              <from>
                <xdr:col>31</xdr:col>
                <xdr:colOff>542925</xdr:colOff>
                <xdr:row>0</xdr:row>
                <xdr:rowOff>0</xdr:rowOff>
              </from>
              <to>
                <xdr:col>31</xdr:col>
                <xdr:colOff>676275</xdr:colOff>
                <xdr:row>1</xdr:row>
                <xdr:rowOff>0</xdr:rowOff>
              </to>
            </anchor>
          </controlPr>
        </control>
      </mc:Choice>
      <mc:Fallback>
        <control shapeId="1071" r:id="rId10" name="SpinButton1"/>
      </mc:Fallback>
    </mc:AlternateContent>
    <mc:AlternateContent xmlns:mc="http://schemas.openxmlformats.org/markup-compatibility/2006">
      <mc:Choice Requires="x14">
        <control shapeId="1073" r:id="rId12" name="Round">
          <controlPr defaultSize="0" autoLine="0" autoPict="0" macro="[0]!Sheet1.ChangeRound">
            <anchor moveWithCells="1">
              <from>
                <xdr:col>0</xdr:col>
                <xdr:colOff>0</xdr:colOff>
                <xdr:row>0</xdr:row>
                <xdr:rowOff>0</xdr:rowOff>
              </from>
              <to>
                <xdr:col>1</xdr:col>
                <xdr:colOff>9525</xdr:colOff>
                <xdr:row>0</xdr:row>
                <xdr:rowOff>200025</xdr:rowOff>
              </to>
            </anchor>
          </controlPr>
        </control>
      </mc:Choice>
    </mc:AlternateContent>
    <mc:AlternateContent xmlns:mc="http://schemas.openxmlformats.org/markup-compatibility/2006">
      <mc:Choice Requires="x14">
        <control shapeId="1075" r:id="rId13" name="44Analysis">
          <controlPr defaultSize="0" autoFill="0" autoLine="0" autoPict="0">
            <anchor moveWithCells="1">
              <from>
                <xdr:col>17</xdr:col>
                <xdr:colOff>0</xdr:colOff>
                <xdr:row>0</xdr:row>
                <xdr:rowOff>0</xdr:rowOff>
              </from>
              <to>
                <xdr:col>20</xdr:col>
                <xdr:colOff>733425</xdr:colOff>
                <xdr:row>1</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2020-12-27T05:36:13Z</dcterms:created>
  <dcterms:modified xsi:type="dcterms:W3CDTF">2022-01-09T19:08:59Z</dcterms:modified>
</cp:coreProperties>
</file>